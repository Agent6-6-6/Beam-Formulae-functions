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Dropbox\00 -- Templates\01 -- Code Dev\Beam Formulae functions\"/>
    </mc:Choice>
  </mc:AlternateContent>
  <xr:revisionPtr revIDLastSave="0" documentId="13_ncr:1_{95ABA83E-F47C-4245-BE6A-E35904542B2C}" xr6:coauthVersionLast="46" xr6:coauthVersionMax="46" xr10:uidLastSave="{00000000-0000-0000-0000-000000000000}"/>
  <bookViews>
    <workbookView xWindow="-120" yWindow="-120" windowWidth="57840" windowHeight="32190" xr2:uid="{2EE05537-B90E-46A7-8ED7-15A2A3292CC7}"/>
  </bookViews>
  <sheets>
    <sheet name="Sheet1" sheetId="1" r:id="rId1"/>
  </sheets>
  <functionGroups builtInGroupCount="19"/>
  <definedNames>
    <definedName name="_xlpm.L_beam" hidden="1" xlm="1">#NAME?</definedName>
    <definedName name="_xlpm.SEQ" hidden="1" xlm="1">#NAME?</definedName>
    <definedName name="_xlpm.X" hidden="1" xlm="1">#NAME?</definedName>
    <definedName name="_xlpm.Y" hidden="1" xlm="1">#NAME?</definedName>
    <definedName name="analysis_step">Sheet1!$C$3</definedName>
    <definedName name="cant_span_pt_load_data">Sheet1!$A$23:$B$25</definedName>
    <definedName name="cant_span_UDL_data">Sheet1!$A$18:$D$20</definedName>
    <definedName name="DEFLECTION_list">INDEX(output,,4)</definedName>
    <definedName name="E_beam">Sheet1!$D$3</definedName>
    <definedName name="I_beam">Sheet1!$E$3</definedName>
    <definedName name="L_cant">Sheet1!$B$3</definedName>
    <definedName name="L_main">Sheet1!$A$3</definedName>
    <definedName name="LABELS_X">_xlfn.ANCHORARRAY(Sheet1!$S$3)</definedName>
    <definedName name="LABELS_Y">_xlfn.ANCHORARRAY(Sheet1!$T$3)</definedName>
    <definedName name="main_span_pt_load_data">Sheet1!$A$12:$B$14</definedName>
    <definedName name="main_span_UDL_data">Sheet1!$A$7:$D$9</definedName>
    <definedName name="MOMENT_list">INDEX(output,,2)</definedName>
    <definedName name="output">_xlfn.ANCHORARRAY(Sheet1!$O$3)</definedName>
    <definedName name="_xlnm.Print_Area" localSheetId="0">Sheet1!$A$1:$J$64</definedName>
    <definedName name="SHEAR_list">INDEX(output,,3)</definedName>
    <definedName name="x_list">INDEX(output,,1)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9" i="1" l="1"/>
  <c r="L38" i="1"/>
  <c r="T3" i="1" a="1"/>
  <c r="T3" i="1" s="1"/>
  <c r="S3" i="1" a="1"/>
  <c r="S3" i="1" s="1"/>
  <c r="O3" i="1" a="1"/>
  <c r="O3" i="1" l="1"/>
  <c r="E3" i="1"/>
  <c r="M51" i="1" l="1"/>
  <c r="L51" i="1" s="1" a="1"/>
  <c r="L51" i="1" s="1"/>
  <c r="M50" i="1"/>
  <c r="L50" i="1" s="1" a="1"/>
  <c r="L50" i="1" s="1"/>
  <c r="M55" i="1" a="1"/>
  <c r="M55" i="1" s="1"/>
  <c r="L55" i="1" s="1" a="1"/>
  <c r="L55" i="1" s="1"/>
  <c r="M54" i="1" a="1"/>
  <c r="M54" i="1" s="1"/>
  <c r="L54" i="1" s="1" a="1"/>
  <c r="L54" i="1" s="1"/>
  <c r="M53" i="1" a="1"/>
  <c r="M53" i="1" s="1"/>
  <c r="L53" i="1" s="1" a="1"/>
  <c r="L53" i="1" s="1"/>
  <c r="M56" i="1" a="1"/>
  <c r="M56" i="1" s="1"/>
  <c r="M42" i="1"/>
  <c r="L42" i="1" s="1" a="1"/>
  <c r="L42" i="1" s="1"/>
  <c r="M47" i="1"/>
  <c r="L47" i="1" s="1" a="1"/>
  <c r="L47" i="1" s="1"/>
  <c r="M46" i="1"/>
  <c r="L46" i="1" s="1" a="1"/>
  <c r="L46" i="1" s="1"/>
  <c r="M43" i="1"/>
  <c r="L43" i="1" s="1" a="1"/>
  <c r="L43" i="1" s="1"/>
  <c r="L52" i="1" l="1"/>
  <c r="M52" i="1" s="1" a="1"/>
  <c r="M52" i="1" s="1"/>
  <c r="L56" i="1" a="1"/>
  <c r="L5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<sst xmlns="http://schemas.openxmlformats.org/spreadsheetml/2006/main" count="48" uniqueCount="28">
  <si>
    <r>
      <t>w</t>
    </r>
    <r>
      <rPr>
        <vertAlign val="subscript"/>
        <sz val="8"/>
        <color theme="1"/>
        <rFont val="Calibri"/>
        <family val="2"/>
      </rPr>
      <t>1</t>
    </r>
  </si>
  <si>
    <r>
      <t>w</t>
    </r>
    <r>
      <rPr>
        <vertAlign val="subscript"/>
        <sz val="8"/>
        <color theme="1"/>
        <rFont val="Calibri"/>
        <family val="2"/>
      </rPr>
      <t>2</t>
    </r>
    <r>
      <rPr>
        <sz val="8"/>
        <color theme="1"/>
        <rFont val="Calibri"/>
        <family val="2"/>
      </rPr>
      <t/>
    </r>
  </si>
  <si>
    <r>
      <t>L</t>
    </r>
    <r>
      <rPr>
        <vertAlign val="subscript"/>
        <sz val="8"/>
        <color theme="1"/>
        <rFont val="Calibri"/>
        <family val="2"/>
      </rPr>
      <t>1</t>
    </r>
  </si>
  <si>
    <r>
      <t>L</t>
    </r>
    <r>
      <rPr>
        <vertAlign val="subscript"/>
        <sz val="8"/>
        <color theme="1"/>
        <rFont val="Calibri"/>
        <family val="2"/>
      </rPr>
      <t>2</t>
    </r>
  </si>
  <si>
    <r>
      <t>p</t>
    </r>
    <r>
      <rPr>
        <vertAlign val="subscript"/>
        <sz val="8"/>
        <color theme="1"/>
        <rFont val="Calibri"/>
        <family val="2"/>
      </rPr>
      <t>1</t>
    </r>
  </si>
  <si>
    <t>MAIN SPAN</t>
  </si>
  <si>
    <t>CANTILEVER SPAN</t>
  </si>
  <si>
    <r>
      <t>E</t>
    </r>
    <r>
      <rPr>
        <vertAlign val="subscript"/>
        <sz val="8"/>
        <color theme="1"/>
        <rFont val="Calibri"/>
        <family val="2"/>
      </rPr>
      <t>BEAM</t>
    </r>
  </si>
  <si>
    <r>
      <t>I</t>
    </r>
    <r>
      <rPr>
        <vertAlign val="subscript"/>
        <sz val="8"/>
        <color theme="1"/>
        <rFont val="Calibri"/>
        <family val="2"/>
      </rPr>
      <t>BEAM</t>
    </r>
  </si>
  <si>
    <t>X</t>
  </si>
  <si>
    <t>MOMENT</t>
  </si>
  <si>
    <t>SHEAR</t>
  </si>
  <si>
    <t>DEFLECTION</t>
  </si>
  <si>
    <t>LABELS</t>
  </si>
  <si>
    <r>
      <t>L</t>
    </r>
    <r>
      <rPr>
        <vertAlign val="subscript"/>
        <sz val="8"/>
        <color theme="1"/>
        <rFont val="Calibri"/>
        <family val="2"/>
      </rPr>
      <t>MAIN</t>
    </r>
  </si>
  <si>
    <r>
      <t>L</t>
    </r>
    <r>
      <rPr>
        <vertAlign val="subscript"/>
        <sz val="8"/>
        <color theme="1"/>
        <rFont val="Calibri"/>
        <family val="2"/>
      </rPr>
      <t>CANTILEVER</t>
    </r>
  </si>
  <si>
    <t>MAX +VE</t>
  </si>
  <si>
    <t>MAX -VE</t>
  </si>
  <si>
    <t>ANALYSIS STEP</t>
  </si>
  <si>
    <t>CANTILEVER TIP</t>
  </si>
  <si>
    <t>Y</t>
  </si>
  <si>
    <t>MAIN -VE</t>
  </si>
  <si>
    <t>MAIN+-VE</t>
  </si>
  <si>
    <t>CANT +VE</t>
  </si>
  <si>
    <t>CANT -VE</t>
  </si>
  <si>
    <t>MEMBER PROPERTIES</t>
  </si>
  <si>
    <t>RIGHT SUPPORT</t>
  </si>
  <si>
    <t>LEFT SUPPORT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</si>
</sst>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00000000000"/>
    <numFmt numFmtId="165" formatCode="0.000000000000000000000000"/>
    <numFmt numFmtId="166" formatCode="0.000"/>
    <numFmt numFmtId="167" formatCode="0.00&quot; kNm&quot;"/>
    <numFmt numFmtId="168" formatCode="0.00&quot; kN&quot;"/>
    <numFmt numFmtId="169" formatCode="0.00&quot; mm&quot;"/>
    <numFmt numFmtId="170" formatCode="0.00&quot; kN/m&quot;"/>
    <numFmt numFmtId="171" formatCode="0.00&quot; m&quot;"/>
    <numFmt numFmtId="172" formatCode="0.000&quot; m&quot;"/>
    <numFmt numFmtId="173" formatCode="0&quot; MPa&quot;"/>
    <numFmt numFmtId="174" formatCode="0&quot; mm⁴&quot;"/>
  </numFmts>
  <fonts count="5" x14ac:knownFonts="1">
    <font>
      <sz val="8"/>
      <color theme="1"/>
      <name val="Calibri"/>
      <family val="2"/>
    </font>
    <font>
      <vertAlign val="subscript"/>
      <sz val="8"/>
      <color theme="1"/>
      <name val="Calibri"/>
      <family val="2"/>
    </font>
    <font>
      <sz val="8"/>
      <name val="Calibri"/>
      <family val="2"/>
    </font>
    <font>
      <sz val="6"/>
      <color theme="1"/>
      <name val="Calibri"/>
      <family val="2"/>
    </font>
    <font>
      <b/>
      <sz val="8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2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9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1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left" vertical="center" indent="1"/>
    </xf>
    <xf numFmtId="171" fontId="3" fillId="2" borderId="1" xfId="0" applyNumberFormat="1" applyFont="1" applyFill="1" applyBorder="1" applyAlignment="1">
      <alignment horizontal="center" vertical="center" shrinkToFit="1"/>
    </xf>
    <xf numFmtId="172" fontId="3" fillId="2" borderId="1" xfId="0" applyNumberFormat="1" applyFont="1" applyFill="1" applyBorder="1" applyAlignment="1">
      <alignment horizontal="center" vertical="center" shrinkToFit="1"/>
    </xf>
    <xf numFmtId="173" fontId="3" fillId="2" borderId="1" xfId="0" applyNumberFormat="1" applyFont="1" applyFill="1" applyBorder="1" applyAlignment="1">
      <alignment horizontal="center" vertical="center"/>
    </xf>
    <xf numFmtId="174" fontId="3" fillId="2" borderId="1" xfId="0" applyNumberFormat="1" applyFont="1" applyFill="1" applyBorder="1" applyAlignment="1">
      <alignment horizontal="center" vertical="center"/>
    </xf>
    <xf numFmtId="170" fontId="3" fillId="2" borderId="1" xfId="0" applyNumberFormat="1" applyFont="1" applyFill="1" applyBorder="1" applyAlignment="1">
      <alignment horizontal="center" vertical="center"/>
    </xf>
    <xf numFmtId="171" fontId="3" fillId="2" borderId="1" xfId="0" applyNumberFormat="1" applyFont="1" applyFill="1" applyBorder="1" applyAlignment="1">
      <alignment horizontal="center" vertical="center"/>
    </xf>
    <xf numFmtId="168" fontId="3" fillId="2" borderId="1" xfId="0" applyNumberFormat="1" applyFont="1" applyFill="1" applyBorder="1" applyAlignment="1">
      <alignment horizontal="center" vertical="center" shrinkToFit="1"/>
    </xf>
    <xf numFmtId="168" fontId="3" fillId="2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3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598605264610844E-2"/>
          <c:y val="6.41395294169501E-2"/>
          <c:w val="0.88598605264610841"/>
          <c:h val="0.87462994659477422"/>
        </c:manualLayout>
      </c:layout>
      <c:scatterChart>
        <c:scatterStyle val="lineMarker"/>
        <c:varyColors val="0"/>
        <c:ser>
          <c:idx val="0"/>
          <c:order val="0"/>
          <c:tx>
            <c:v>MOMENT</c:v>
          </c:tx>
          <c:marker>
            <c:symbol val="none"/>
          </c:marker>
          <c:errBars>
            <c:errDir val="x"/>
            <c:errBarType val="both"/>
            <c:errValType val="percentage"/>
            <c:noEndCap val="0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minus"/>
            <c:errValType val="percentage"/>
            <c:noEndCap val="1"/>
            <c:val val="100"/>
            <c:spPr>
              <a:noFill/>
              <a:ln w="3175" cap="flat" cmpd="sng" algn="ctr">
                <a:solidFill>
                  <a:schemeClr val="accent1">
                    <a:lumMod val="40000"/>
                    <a:lumOff val="60000"/>
                  </a:schemeClr>
                </a:solidFill>
                <a:prstDash val="solid"/>
                <a:round/>
              </a:ln>
              <a:effectLst/>
            </c:spPr>
          </c:errBars>
          <c:xVal>
            <c:numRef>
              <c:f>[0]!x_list</c:f>
              <c:numCache>
                <c:formatCode>0.000</c:formatCode>
                <c:ptCount val="267"/>
                <c:pt idx="0">
                  <c:v>0</c:v>
                </c:pt>
                <c:pt idx="1">
                  <c:v>9.9999999999999995E-8</c:v>
                </c:pt>
                <c:pt idx="2">
                  <c:v>2.5000000000000001E-2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0.125</c:v>
                </c:pt>
                <c:pt idx="7">
                  <c:v>0.15</c:v>
                </c:pt>
                <c:pt idx="8">
                  <c:v>0.17499999999999999</c:v>
                </c:pt>
                <c:pt idx="9">
                  <c:v>0.2</c:v>
                </c:pt>
                <c:pt idx="10">
                  <c:v>0.22500000000000001</c:v>
                </c:pt>
                <c:pt idx="11">
                  <c:v>0.25</c:v>
                </c:pt>
                <c:pt idx="12">
                  <c:v>0.27500000000000002</c:v>
                </c:pt>
                <c:pt idx="13">
                  <c:v>0.3</c:v>
                </c:pt>
                <c:pt idx="14">
                  <c:v>0.32500000000000001</c:v>
                </c:pt>
                <c:pt idx="15">
                  <c:v>0.35</c:v>
                </c:pt>
                <c:pt idx="16">
                  <c:v>0.375</c:v>
                </c:pt>
                <c:pt idx="17">
                  <c:v>0.4</c:v>
                </c:pt>
                <c:pt idx="18">
                  <c:v>0.42499999999999999</c:v>
                </c:pt>
                <c:pt idx="19">
                  <c:v>0.45</c:v>
                </c:pt>
                <c:pt idx="20">
                  <c:v>0.47499999999999998</c:v>
                </c:pt>
                <c:pt idx="21">
                  <c:v>0.5</c:v>
                </c:pt>
                <c:pt idx="22">
                  <c:v>0.52500000000000002</c:v>
                </c:pt>
                <c:pt idx="23">
                  <c:v>0.55000000000000004</c:v>
                </c:pt>
                <c:pt idx="24">
                  <c:v>0.57499999999999996</c:v>
                </c:pt>
                <c:pt idx="25">
                  <c:v>0.6</c:v>
                </c:pt>
                <c:pt idx="26">
                  <c:v>0.625</c:v>
                </c:pt>
                <c:pt idx="27">
                  <c:v>0.65</c:v>
                </c:pt>
                <c:pt idx="28">
                  <c:v>0.67500000000000004</c:v>
                </c:pt>
                <c:pt idx="29">
                  <c:v>0.7</c:v>
                </c:pt>
                <c:pt idx="30">
                  <c:v>0.72499999999999998</c:v>
                </c:pt>
                <c:pt idx="31">
                  <c:v>0.75</c:v>
                </c:pt>
                <c:pt idx="32">
                  <c:v>0.77500000000000002</c:v>
                </c:pt>
                <c:pt idx="33">
                  <c:v>0.8</c:v>
                </c:pt>
                <c:pt idx="34">
                  <c:v>0.82499999999999996</c:v>
                </c:pt>
                <c:pt idx="35">
                  <c:v>0.85</c:v>
                </c:pt>
                <c:pt idx="36">
                  <c:v>0.875</c:v>
                </c:pt>
                <c:pt idx="37">
                  <c:v>0.9</c:v>
                </c:pt>
                <c:pt idx="38">
                  <c:v>0.92500000000000004</c:v>
                </c:pt>
                <c:pt idx="39">
                  <c:v>0.95</c:v>
                </c:pt>
                <c:pt idx="40">
                  <c:v>0.97499999999999998</c:v>
                </c:pt>
                <c:pt idx="41">
                  <c:v>0.99999990000000005</c:v>
                </c:pt>
                <c:pt idx="42">
                  <c:v>1</c:v>
                </c:pt>
                <c:pt idx="43">
                  <c:v>1.0000001000000001</c:v>
                </c:pt>
                <c:pt idx="44">
                  <c:v>1.0249999999999999</c:v>
                </c:pt>
                <c:pt idx="45">
                  <c:v>1.05</c:v>
                </c:pt>
                <c:pt idx="46">
                  <c:v>1.075</c:v>
                </c:pt>
                <c:pt idx="47">
                  <c:v>1.1000000000000001</c:v>
                </c:pt>
                <c:pt idx="48">
                  <c:v>1.125</c:v>
                </c:pt>
                <c:pt idx="49">
                  <c:v>1.1499999999999999</c:v>
                </c:pt>
                <c:pt idx="50">
                  <c:v>1.175</c:v>
                </c:pt>
                <c:pt idx="51">
                  <c:v>1.2</c:v>
                </c:pt>
                <c:pt idx="52">
                  <c:v>1.2250000000000001</c:v>
                </c:pt>
                <c:pt idx="53">
                  <c:v>1.25</c:v>
                </c:pt>
                <c:pt idx="54">
                  <c:v>1.2749999999999999</c:v>
                </c:pt>
                <c:pt idx="55">
                  <c:v>1.3</c:v>
                </c:pt>
                <c:pt idx="56">
                  <c:v>1.325</c:v>
                </c:pt>
                <c:pt idx="57">
                  <c:v>1.35</c:v>
                </c:pt>
                <c:pt idx="58">
                  <c:v>1.375</c:v>
                </c:pt>
                <c:pt idx="59">
                  <c:v>1.4</c:v>
                </c:pt>
                <c:pt idx="60">
                  <c:v>1.425</c:v>
                </c:pt>
                <c:pt idx="61">
                  <c:v>1.45</c:v>
                </c:pt>
                <c:pt idx="62">
                  <c:v>1.4750000000000001</c:v>
                </c:pt>
                <c:pt idx="63">
                  <c:v>1.5</c:v>
                </c:pt>
                <c:pt idx="64">
                  <c:v>1.5249999999999999</c:v>
                </c:pt>
                <c:pt idx="65">
                  <c:v>1.55</c:v>
                </c:pt>
                <c:pt idx="66">
                  <c:v>1.575</c:v>
                </c:pt>
                <c:pt idx="67">
                  <c:v>1.6</c:v>
                </c:pt>
                <c:pt idx="68">
                  <c:v>1.625</c:v>
                </c:pt>
                <c:pt idx="69">
                  <c:v>1.65</c:v>
                </c:pt>
                <c:pt idx="70">
                  <c:v>1.675</c:v>
                </c:pt>
                <c:pt idx="71">
                  <c:v>1.7</c:v>
                </c:pt>
                <c:pt idx="72">
                  <c:v>1.7250000000000001</c:v>
                </c:pt>
                <c:pt idx="73">
                  <c:v>1.75</c:v>
                </c:pt>
                <c:pt idx="74">
                  <c:v>1.7749999999999999</c:v>
                </c:pt>
                <c:pt idx="75">
                  <c:v>1.8</c:v>
                </c:pt>
                <c:pt idx="76">
                  <c:v>1.825</c:v>
                </c:pt>
                <c:pt idx="77">
                  <c:v>1.85</c:v>
                </c:pt>
                <c:pt idx="78">
                  <c:v>1.875</c:v>
                </c:pt>
                <c:pt idx="79">
                  <c:v>1.9</c:v>
                </c:pt>
                <c:pt idx="80">
                  <c:v>1.925</c:v>
                </c:pt>
                <c:pt idx="81">
                  <c:v>1.95</c:v>
                </c:pt>
                <c:pt idx="82">
                  <c:v>1.9750000000000001</c:v>
                </c:pt>
                <c:pt idx="83">
                  <c:v>2</c:v>
                </c:pt>
                <c:pt idx="84">
                  <c:v>2.0249999999999999</c:v>
                </c:pt>
                <c:pt idx="85">
                  <c:v>2.0499999999999998</c:v>
                </c:pt>
                <c:pt idx="86">
                  <c:v>2.0750000000000002</c:v>
                </c:pt>
                <c:pt idx="87">
                  <c:v>2.1</c:v>
                </c:pt>
                <c:pt idx="88">
                  <c:v>2.125</c:v>
                </c:pt>
                <c:pt idx="89">
                  <c:v>2.15</c:v>
                </c:pt>
                <c:pt idx="90">
                  <c:v>2.1749999999999998</c:v>
                </c:pt>
                <c:pt idx="91">
                  <c:v>2.2000000000000002</c:v>
                </c:pt>
                <c:pt idx="92">
                  <c:v>2.2250000000000001</c:v>
                </c:pt>
                <c:pt idx="93">
                  <c:v>2.25</c:v>
                </c:pt>
                <c:pt idx="94">
                  <c:v>2.2749999999999999</c:v>
                </c:pt>
                <c:pt idx="95">
                  <c:v>2.2999999999999998</c:v>
                </c:pt>
                <c:pt idx="96">
                  <c:v>2.3250000000000002</c:v>
                </c:pt>
                <c:pt idx="97">
                  <c:v>2.35</c:v>
                </c:pt>
                <c:pt idx="98">
                  <c:v>2.375</c:v>
                </c:pt>
                <c:pt idx="99">
                  <c:v>2.4</c:v>
                </c:pt>
                <c:pt idx="100">
                  <c:v>2.4249999999999998</c:v>
                </c:pt>
                <c:pt idx="101">
                  <c:v>2.4500000000000002</c:v>
                </c:pt>
                <c:pt idx="102">
                  <c:v>2.4750000000000001</c:v>
                </c:pt>
                <c:pt idx="103">
                  <c:v>2.5</c:v>
                </c:pt>
                <c:pt idx="104">
                  <c:v>2.5249999999999999</c:v>
                </c:pt>
                <c:pt idx="105">
                  <c:v>2.5499999999999998</c:v>
                </c:pt>
                <c:pt idx="106">
                  <c:v>2.5750000000000002</c:v>
                </c:pt>
                <c:pt idx="107">
                  <c:v>2.6</c:v>
                </c:pt>
                <c:pt idx="108">
                  <c:v>2.625</c:v>
                </c:pt>
                <c:pt idx="109">
                  <c:v>2.65</c:v>
                </c:pt>
                <c:pt idx="110">
                  <c:v>2.6749999999999998</c:v>
                </c:pt>
                <c:pt idx="111">
                  <c:v>2.7</c:v>
                </c:pt>
                <c:pt idx="112">
                  <c:v>2.7250000000000001</c:v>
                </c:pt>
                <c:pt idx="113">
                  <c:v>2.75</c:v>
                </c:pt>
                <c:pt idx="114">
                  <c:v>2.7749999999999999</c:v>
                </c:pt>
                <c:pt idx="115">
                  <c:v>2.8</c:v>
                </c:pt>
                <c:pt idx="116">
                  <c:v>2.8250000000000002</c:v>
                </c:pt>
                <c:pt idx="117">
                  <c:v>2.85</c:v>
                </c:pt>
                <c:pt idx="118">
                  <c:v>2.875</c:v>
                </c:pt>
                <c:pt idx="119">
                  <c:v>2.9</c:v>
                </c:pt>
                <c:pt idx="120">
                  <c:v>2.9249999999999998</c:v>
                </c:pt>
                <c:pt idx="121">
                  <c:v>2.95</c:v>
                </c:pt>
                <c:pt idx="122">
                  <c:v>2.9750000000000001</c:v>
                </c:pt>
                <c:pt idx="123">
                  <c:v>3</c:v>
                </c:pt>
                <c:pt idx="124">
                  <c:v>3.0249999999999999</c:v>
                </c:pt>
                <c:pt idx="125">
                  <c:v>3.05</c:v>
                </c:pt>
                <c:pt idx="126">
                  <c:v>3.0750000000000002</c:v>
                </c:pt>
                <c:pt idx="127">
                  <c:v>3.1</c:v>
                </c:pt>
                <c:pt idx="128">
                  <c:v>3.125</c:v>
                </c:pt>
                <c:pt idx="129">
                  <c:v>3.15</c:v>
                </c:pt>
                <c:pt idx="130">
                  <c:v>3.1749999999999998</c:v>
                </c:pt>
                <c:pt idx="131">
                  <c:v>3.2</c:v>
                </c:pt>
                <c:pt idx="132">
                  <c:v>3.2250000000000001</c:v>
                </c:pt>
                <c:pt idx="133">
                  <c:v>3.25</c:v>
                </c:pt>
                <c:pt idx="134">
                  <c:v>3.2749999999999999</c:v>
                </c:pt>
                <c:pt idx="135">
                  <c:v>3.3</c:v>
                </c:pt>
                <c:pt idx="136">
                  <c:v>3.3250000000000002</c:v>
                </c:pt>
                <c:pt idx="137">
                  <c:v>3.35</c:v>
                </c:pt>
                <c:pt idx="138">
                  <c:v>3.375</c:v>
                </c:pt>
                <c:pt idx="139">
                  <c:v>3.4</c:v>
                </c:pt>
                <c:pt idx="140">
                  <c:v>3.4249999999999998</c:v>
                </c:pt>
                <c:pt idx="141">
                  <c:v>3.45</c:v>
                </c:pt>
                <c:pt idx="142">
                  <c:v>3.4750000000000001</c:v>
                </c:pt>
                <c:pt idx="143">
                  <c:v>3.5</c:v>
                </c:pt>
                <c:pt idx="144">
                  <c:v>3.5249999999999999</c:v>
                </c:pt>
                <c:pt idx="145">
                  <c:v>3.55</c:v>
                </c:pt>
                <c:pt idx="146">
                  <c:v>3.5750000000000002</c:v>
                </c:pt>
                <c:pt idx="147">
                  <c:v>3.6</c:v>
                </c:pt>
                <c:pt idx="148">
                  <c:v>3.625</c:v>
                </c:pt>
                <c:pt idx="149">
                  <c:v>3.65</c:v>
                </c:pt>
                <c:pt idx="150">
                  <c:v>3.6749999999999998</c:v>
                </c:pt>
                <c:pt idx="151">
                  <c:v>3.7</c:v>
                </c:pt>
                <c:pt idx="152">
                  <c:v>3.7250000000000001</c:v>
                </c:pt>
                <c:pt idx="153">
                  <c:v>3.75</c:v>
                </c:pt>
                <c:pt idx="154">
                  <c:v>3.7749999999999999</c:v>
                </c:pt>
                <c:pt idx="155">
                  <c:v>3.8</c:v>
                </c:pt>
                <c:pt idx="156">
                  <c:v>3.8250000000000002</c:v>
                </c:pt>
                <c:pt idx="157">
                  <c:v>3.85</c:v>
                </c:pt>
                <c:pt idx="158">
                  <c:v>3.875</c:v>
                </c:pt>
                <c:pt idx="159">
                  <c:v>3.9</c:v>
                </c:pt>
                <c:pt idx="160">
                  <c:v>3.9249999999999998</c:v>
                </c:pt>
                <c:pt idx="161">
                  <c:v>3.95</c:v>
                </c:pt>
                <c:pt idx="162">
                  <c:v>3.9750000000000001</c:v>
                </c:pt>
                <c:pt idx="163">
                  <c:v>3.9999999000000002</c:v>
                </c:pt>
                <c:pt idx="164">
                  <c:v>4</c:v>
                </c:pt>
                <c:pt idx="165">
                  <c:v>4.0000001000000003</c:v>
                </c:pt>
                <c:pt idx="166">
                  <c:v>4.0250000000000004</c:v>
                </c:pt>
                <c:pt idx="167">
                  <c:v>4.05</c:v>
                </c:pt>
                <c:pt idx="168">
                  <c:v>4.0750000000000002</c:v>
                </c:pt>
                <c:pt idx="169">
                  <c:v>4.0999999999999996</c:v>
                </c:pt>
                <c:pt idx="170">
                  <c:v>4.125</c:v>
                </c:pt>
                <c:pt idx="171">
                  <c:v>4.1500000000000004</c:v>
                </c:pt>
                <c:pt idx="172">
                  <c:v>4.1749999999999998</c:v>
                </c:pt>
                <c:pt idx="173">
                  <c:v>4.2</c:v>
                </c:pt>
                <c:pt idx="174">
                  <c:v>4.2249999999999996</c:v>
                </c:pt>
                <c:pt idx="175">
                  <c:v>4.25</c:v>
                </c:pt>
                <c:pt idx="176">
                  <c:v>4.2750000000000004</c:v>
                </c:pt>
                <c:pt idx="177">
                  <c:v>4.3</c:v>
                </c:pt>
                <c:pt idx="178">
                  <c:v>4.3250000000000002</c:v>
                </c:pt>
                <c:pt idx="179">
                  <c:v>4.3499999999999996</c:v>
                </c:pt>
                <c:pt idx="180">
                  <c:v>4.375</c:v>
                </c:pt>
                <c:pt idx="181">
                  <c:v>4.4000000000000004</c:v>
                </c:pt>
                <c:pt idx="182">
                  <c:v>4.4249999999999998</c:v>
                </c:pt>
                <c:pt idx="183">
                  <c:v>4.45</c:v>
                </c:pt>
                <c:pt idx="184">
                  <c:v>4.4749999999999996</c:v>
                </c:pt>
                <c:pt idx="185">
                  <c:v>4.5</c:v>
                </c:pt>
                <c:pt idx="186">
                  <c:v>4.5250000000000004</c:v>
                </c:pt>
                <c:pt idx="187">
                  <c:v>4.55</c:v>
                </c:pt>
                <c:pt idx="188">
                  <c:v>4.5750000000000002</c:v>
                </c:pt>
                <c:pt idx="189">
                  <c:v>4.5999999999999996</c:v>
                </c:pt>
                <c:pt idx="190">
                  <c:v>4.625</c:v>
                </c:pt>
                <c:pt idx="191">
                  <c:v>4.6500000000000004</c:v>
                </c:pt>
                <c:pt idx="192">
                  <c:v>4.6749999999999998</c:v>
                </c:pt>
                <c:pt idx="193">
                  <c:v>4.7</c:v>
                </c:pt>
                <c:pt idx="194">
                  <c:v>4.7249999999999996</c:v>
                </c:pt>
                <c:pt idx="195">
                  <c:v>4.75</c:v>
                </c:pt>
                <c:pt idx="196">
                  <c:v>4.7750000000000004</c:v>
                </c:pt>
                <c:pt idx="197">
                  <c:v>4.8</c:v>
                </c:pt>
                <c:pt idx="198">
                  <c:v>4.8250000000000002</c:v>
                </c:pt>
                <c:pt idx="199">
                  <c:v>4.8499999999999996</c:v>
                </c:pt>
                <c:pt idx="200">
                  <c:v>4.875</c:v>
                </c:pt>
                <c:pt idx="201">
                  <c:v>4.9000000000000004</c:v>
                </c:pt>
                <c:pt idx="202">
                  <c:v>4.9249999999999998</c:v>
                </c:pt>
                <c:pt idx="203">
                  <c:v>4.95</c:v>
                </c:pt>
                <c:pt idx="204">
                  <c:v>4.9749999999999996</c:v>
                </c:pt>
                <c:pt idx="205">
                  <c:v>4.9999998999999997</c:v>
                </c:pt>
                <c:pt idx="206">
                  <c:v>5</c:v>
                </c:pt>
                <c:pt idx="207">
                  <c:v>5.0000001000000003</c:v>
                </c:pt>
                <c:pt idx="208">
                  <c:v>5.0250000000000004</c:v>
                </c:pt>
                <c:pt idx="209">
                  <c:v>5.05</c:v>
                </c:pt>
                <c:pt idx="210">
                  <c:v>5.0750000000000002</c:v>
                </c:pt>
                <c:pt idx="211">
                  <c:v>5.0999999999999996</c:v>
                </c:pt>
                <c:pt idx="212">
                  <c:v>5.125</c:v>
                </c:pt>
                <c:pt idx="213">
                  <c:v>5.15</c:v>
                </c:pt>
                <c:pt idx="214">
                  <c:v>5.1749999999999998</c:v>
                </c:pt>
                <c:pt idx="215">
                  <c:v>5.2</c:v>
                </c:pt>
                <c:pt idx="216">
                  <c:v>5.2249999999999996</c:v>
                </c:pt>
                <c:pt idx="217">
                  <c:v>5.25</c:v>
                </c:pt>
                <c:pt idx="218">
                  <c:v>5.2750000000000004</c:v>
                </c:pt>
                <c:pt idx="219">
                  <c:v>5.3</c:v>
                </c:pt>
                <c:pt idx="220">
                  <c:v>5.3250000000000002</c:v>
                </c:pt>
                <c:pt idx="221">
                  <c:v>5.35</c:v>
                </c:pt>
                <c:pt idx="222">
                  <c:v>5.375</c:v>
                </c:pt>
                <c:pt idx="223">
                  <c:v>5.4</c:v>
                </c:pt>
                <c:pt idx="224">
                  <c:v>5.4249999999999998</c:v>
                </c:pt>
                <c:pt idx="225">
                  <c:v>5.45</c:v>
                </c:pt>
                <c:pt idx="226">
                  <c:v>5.4749999999999996</c:v>
                </c:pt>
                <c:pt idx="227">
                  <c:v>5.5</c:v>
                </c:pt>
                <c:pt idx="228">
                  <c:v>5.5250000000000004</c:v>
                </c:pt>
                <c:pt idx="229">
                  <c:v>5.55</c:v>
                </c:pt>
                <c:pt idx="230">
                  <c:v>5.5750000000000002</c:v>
                </c:pt>
                <c:pt idx="231">
                  <c:v>5.6</c:v>
                </c:pt>
                <c:pt idx="232">
                  <c:v>5.625</c:v>
                </c:pt>
                <c:pt idx="233">
                  <c:v>5.65</c:v>
                </c:pt>
                <c:pt idx="234">
                  <c:v>5.6749999999999998</c:v>
                </c:pt>
                <c:pt idx="235">
                  <c:v>5.7</c:v>
                </c:pt>
                <c:pt idx="236">
                  <c:v>5.7249999999999996</c:v>
                </c:pt>
                <c:pt idx="237">
                  <c:v>5.75</c:v>
                </c:pt>
                <c:pt idx="238">
                  <c:v>5.7750000000000004</c:v>
                </c:pt>
                <c:pt idx="239">
                  <c:v>5.8</c:v>
                </c:pt>
                <c:pt idx="240">
                  <c:v>5.8250000000000002</c:v>
                </c:pt>
                <c:pt idx="241">
                  <c:v>5.85</c:v>
                </c:pt>
                <c:pt idx="242">
                  <c:v>5.875</c:v>
                </c:pt>
                <c:pt idx="243">
                  <c:v>5.9</c:v>
                </c:pt>
                <c:pt idx="244">
                  <c:v>5.9249999999999998</c:v>
                </c:pt>
                <c:pt idx="245">
                  <c:v>5.95</c:v>
                </c:pt>
                <c:pt idx="246">
                  <c:v>5.9749999999999996</c:v>
                </c:pt>
                <c:pt idx="247">
                  <c:v>5.9999998999999997</c:v>
                </c:pt>
                <c:pt idx="248">
                  <c:v>6</c:v>
                </c:pt>
                <c:pt idx="249">
                  <c:v>6.0000001000000003</c:v>
                </c:pt>
                <c:pt idx="250">
                  <c:v>6.0250000000000004</c:v>
                </c:pt>
                <c:pt idx="251">
                  <c:v>6.05</c:v>
                </c:pt>
                <c:pt idx="252">
                  <c:v>6.0750000000000002</c:v>
                </c:pt>
                <c:pt idx="253">
                  <c:v>6.1</c:v>
                </c:pt>
                <c:pt idx="254">
                  <c:v>6.125</c:v>
                </c:pt>
                <c:pt idx="255">
                  <c:v>6.15</c:v>
                </c:pt>
                <c:pt idx="256">
                  <c:v>6.1749999999999998</c:v>
                </c:pt>
                <c:pt idx="257">
                  <c:v>6.2</c:v>
                </c:pt>
                <c:pt idx="258">
                  <c:v>6.2249999999999996</c:v>
                </c:pt>
                <c:pt idx="259">
                  <c:v>6.25</c:v>
                </c:pt>
                <c:pt idx="260">
                  <c:v>6.2750000000000004</c:v>
                </c:pt>
                <c:pt idx="261">
                  <c:v>6.3</c:v>
                </c:pt>
                <c:pt idx="262">
                  <c:v>6.3250000000000002</c:v>
                </c:pt>
                <c:pt idx="263">
                  <c:v>6.34</c:v>
                </c:pt>
                <c:pt idx="264">
                  <c:v>6.34</c:v>
                </c:pt>
                <c:pt idx="265">
                  <c:v>0</c:v>
                </c:pt>
                <c:pt idx="266">
                  <c:v>0</c:v>
                </c:pt>
              </c:numCache>
            </c:numRef>
          </c:xVal>
          <c:yVal>
            <c:numRef>
              <c:f>[0]!MOMENT_list</c:f>
              <c:numCache>
                <c:formatCode>0.000</c:formatCode>
                <c:ptCount val="267"/>
                <c:pt idx="0">
                  <c:v>0</c:v>
                </c:pt>
                <c:pt idx="1">
                  <c:v>4.4166666666666669E-7</c:v>
                </c:pt>
                <c:pt idx="2">
                  <c:v>0.11041796875000003</c:v>
                </c:pt>
                <c:pt idx="3">
                  <c:v>0.22084375000000009</c:v>
                </c:pt>
                <c:pt idx="4">
                  <c:v>0.33128515624999993</c:v>
                </c:pt>
                <c:pt idx="5">
                  <c:v>0.44175000000000003</c:v>
                </c:pt>
                <c:pt idx="6">
                  <c:v>0.55224609375</c:v>
                </c:pt>
                <c:pt idx="7">
                  <c:v>0.66278124999999999</c:v>
                </c:pt>
                <c:pt idx="8">
                  <c:v>0.77336328124999987</c:v>
                </c:pt>
                <c:pt idx="9">
                  <c:v>0.88400000000000023</c:v>
                </c:pt>
                <c:pt idx="10">
                  <c:v>0.99469921874999989</c:v>
                </c:pt>
                <c:pt idx="11">
                  <c:v>1.10546875</c:v>
                </c:pt>
                <c:pt idx="12">
                  <c:v>1.21631640625</c:v>
                </c:pt>
                <c:pt idx="13">
                  <c:v>1.32725</c:v>
                </c:pt>
                <c:pt idx="14">
                  <c:v>1.43827734375</c:v>
                </c:pt>
                <c:pt idx="15">
                  <c:v>1.5494062499999999</c:v>
                </c:pt>
                <c:pt idx="16">
                  <c:v>1.66064453125</c:v>
                </c:pt>
                <c:pt idx="17">
                  <c:v>1.772</c:v>
                </c:pt>
                <c:pt idx="18">
                  <c:v>1.8834804687500002</c:v>
                </c:pt>
                <c:pt idx="19">
                  <c:v>1.9950937499999997</c:v>
                </c:pt>
                <c:pt idx="20">
                  <c:v>2.1068476562499998</c:v>
                </c:pt>
                <c:pt idx="21">
                  <c:v>2.21875</c:v>
                </c:pt>
                <c:pt idx="22">
                  <c:v>2.33080859375</c:v>
                </c:pt>
                <c:pt idx="23">
                  <c:v>2.4430312500000002</c:v>
                </c:pt>
                <c:pt idx="24">
                  <c:v>2.555425781249999</c:v>
                </c:pt>
                <c:pt idx="25">
                  <c:v>2.6679999999999997</c:v>
                </c:pt>
                <c:pt idx="26">
                  <c:v>2.7807617187499996</c:v>
                </c:pt>
                <c:pt idx="27">
                  <c:v>2.8937187500000001</c:v>
                </c:pt>
                <c:pt idx="28">
                  <c:v>3.0068789062500003</c:v>
                </c:pt>
                <c:pt idx="29">
                  <c:v>3.1202499999999991</c:v>
                </c:pt>
                <c:pt idx="30">
                  <c:v>3.2338398437499998</c:v>
                </c:pt>
                <c:pt idx="31">
                  <c:v>3.34765625</c:v>
                </c:pt>
                <c:pt idx="32">
                  <c:v>3.4617070312499991</c:v>
                </c:pt>
                <c:pt idx="33">
                  <c:v>3.5760000000000001</c:v>
                </c:pt>
                <c:pt idx="34">
                  <c:v>3.6905429687499987</c:v>
                </c:pt>
                <c:pt idx="35">
                  <c:v>3.8053437500000005</c:v>
                </c:pt>
                <c:pt idx="36">
                  <c:v>3.9204101562499991</c:v>
                </c:pt>
                <c:pt idx="37">
                  <c:v>4.0357499999999993</c:v>
                </c:pt>
                <c:pt idx="38">
                  <c:v>4.1513710937499999</c:v>
                </c:pt>
                <c:pt idx="39">
                  <c:v>4.267281249999999</c:v>
                </c:pt>
                <c:pt idx="40">
                  <c:v>4.3834882812500009</c:v>
                </c:pt>
                <c:pt idx="41">
                  <c:v>4.4999995333333365</c:v>
                </c:pt>
                <c:pt idx="42">
                  <c:v>4.5</c:v>
                </c:pt>
                <c:pt idx="43">
                  <c:v>4.5000003666666686</c:v>
                </c:pt>
                <c:pt idx="44">
                  <c:v>4.5918242187499994</c:v>
                </c:pt>
                <c:pt idx="45">
                  <c:v>4.68396875</c:v>
                </c:pt>
                <c:pt idx="46">
                  <c:v>4.77644140625</c:v>
                </c:pt>
                <c:pt idx="47">
                  <c:v>4.8692500000000001</c:v>
                </c:pt>
                <c:pt idx="48">
                  <c:v>4.96240234375</c:v>
                </c:pt>
                <c:pt idx="49">
                  <c:v>5.0559062499999987</c:v>
                </c:pt>
                <c:pt idx="50">
                  <c:v>5.1497695312499996</c:v>
                </c:pt>
                <c:pt idx="51">
                  <c:v>5.2439999999999998</c:v>
                </c:pt>
                <c:pt idx="52">
                  <c:v>5.3386054687500009</c:v>
                </c:pt>
                <c:pt idx="53">
                  <c:v>5.4335937499999991</c:v>
                </c:pt>
                <c:pt idx="54">
                  <c:v>5.5289726562499988</c:v>
                </c:pt>
                <c:pt idx="55">
                  <c:v>5.6247499999999997</c:v>
                </c:pt>
                <c:pt idx="56">
                  <c:v>5.7209335937499999</c:v>
                </c:pt>
                <c:pt idx="57">
                  <c:v>5.8175312499999992</c:v>
                </c:pt>
                <c:pt idx="58">
                  <c:v>5.9145507812499991</c:v>
                </c:pt>
                <c:pt idx="59">
                  <c:v>6.0119999999999996</c:v>
                </c:pt>
                <c:pt idx="60">
                  <c:v>6.1098867187500003</c:v>
                </c:pt>
                <c:pt idx="61">
                  <c:v>6.2082187499999995</c:v>
                </c:pt>
                <c:pt idx="62">
                  <c:v>6.3070039062500003</c:v>
                </c:pt>
                <c:pt idx="63">
                  <c:v>6.40625</c:v>
                </c:pt>
                <c:pt idx="64">
                  <c:v>6.5059648437499993</c:v>
                </c:pt>
                <c:pt idx="65">
                  <c:v>6.6061562500000006</c:v>
                </c:pt>
                <c:pt idx="66">
                  <c:v>6.7068320312499994</c:v>
                </c:pt>
                <c:pt idx="67">
                  <c:v>6.8080000000000007</c:v>
                </c:pt>
                <c:pt idx="68">
                  <c:v>6.90966796875</c:v>
                </c:pt>
                <c:pt idx="69">
                  <c:v>7.0118437499999979</c:v>
                </c:pt>
                <c:pt idx="70">
                  <c:v>7.1145351562500005</c:v>
                </c:pt>
                <c:pt idx="71">
                  <c:v>7.2177500000000006</c:v>
                </c:pt>
                <c:pt idx="72">
                  <c:v>7.3214960937500004</c:v>
                </c:pt>
                <c:pt idx="73">
                  <c:v>7.4257812499999982</c:v>
                </c:pt>
                <c:pt idx="74">
                  <c:v>7.5306132812499991</c:v>
                </c:pt>
                <c:pt idx="75">
                  <c:v>7.6359999999999992</c:v>
                </c:pt>
                <c:pt idx="76">
                  <c:v>7.7419492187499994</c:v>
                </c:pt>
                <c:pt idx="77">
                  <c:v>7.8484687499999994</c:v>
                </c:pt>
                <c:pt idx="78">
                  <c:v>7.95556640625</c:v>
                </c:pt>
                <c:pt idx="79">
                  <c:v>8.06325</c:v>
                </c:pt>
                <c:pt idx="80">
                  <c:v>8.1715273437499985</c:v>
                </c:pt>
                <c:pt idx="81">
                  <c:v>8.2804062500000004</c:v>
                </c:pt>
                <c:pt idx="82">
                  <c:v>8.3898945312500004</c:v>
                </c:pt>
                <c:pt idx="83">
                  <c:v>8.5</c:v>
                </c:pt>
                <c:pt idx="84">
                  <c:v>8.6072851562499988</c:v>
                </c:pt>
                <c:pt idx="85">
                  <c:v>8.7082812500000006</c:v>
                </c:pt>
                <c:pt idx="86">
                  <c:v>8.8029492187500029</c:v>
                </c:pt>
                <c:pt idx="87">
                  <c:v>8.8912499999999994</c:v>
                </c:pt>
                <c:pt idx="88">
                  <c:v>8.9731445312499982</c:v>
                </c:pt>
                <c:pt idx="89">
                  <c:v>9.0485937500000002</c:v>
                </c:pt>
                <c:pt idx="90">
                  <c:v>9.1175585937499992</c:v>
                </c:pt>
                <c:pt idx="91">
                  <c:v>9.1800000000000015</c:v>
                </c:pt>
                <c:pt idx="92">
                  <c:v>9.2358789062499991</c:v>
                </c:pt>
                <c:pt idx="93">
                  <c:v>9.28515625</c:v>
                </c:pt>
                <c:pt idx="94">
                  <c:v>9.3277929687499999</c:v>
                </c:pt>
                <c:pt idx="95">
                  <c:v>9.3637499999999978</c:v>
                </c:pt>
                <c:pt idx="96">
                  <c:v>9.3929882812500001</c:v>
                </c:pt>
                <c:pt idx="97">
                  <c:v>9.4154687499999987</c:v>
                </c:pt>
                <c:pt idx="98">
                  <c:v>9.43115234375</c:v>
                </c:pt>
                <c:pt idx="99">
                  <c:v>9.44</c:v>
                </c:pt>
                <c:pt idx="100">
                  <c:v>9.4419726562499999</c:v>
                </c:pt>
                <c:pt idx="101">
                  <c:v>9.4370312500000022</c:v>
                </c:pt>
                <c:pt idx="102">
                  <c:v>9.4251367187500001</c:v>
                </c:pt>
                <c:pt idx="103">
                  <c:v>9.4062499999999982</c:v>
                </c:pt>
                <c:pt idx="104">
                  <c:v>9.3803320312499991</c:v>
                </c:pt>
                <c:pt idx="105">
                  <c:v>9.3473437499999985</c:v>
                </c:pt>
                <c:pt idx="106">
                  <c:v>9.3072460937500008</c:v>
                </c:pt>
                <c:pt idx="107">
                  <c:v>9.259999999999998</c:v>
                </c:pt>
                <c:pt idx="108">
                  <c:v>9.20556640625</c:v>
                </c:pt>
                <c:pt idx="109">
                  <c:v>9.1439062500000006</c:v>
                </c:pt>
                <c:pt idx="110">
                  <c:v>9.0749804687500006</c:v>
                </c:pt>
                <c:pt idx="111">
                  <c:v>8.9987499999999994</c:v>
                </c:pt>
                <c:pt idx="112">
                  <c:v>8.9151757812499977</c:v>
                </c:pt>
                <c:pt idx="113">
                  <c:v>8.8242187499999982</c:v>
                </c:pt>
                <c:pt idx="114">
                  <c:v>8.725839843750002</c:v>
                </c:pt>
                <c:pt idx="115">
                  <c:v>8.6199999999999992</c:v>
                </c:pt>
                <c:pt idx="116">
                  <c:v>8.5066601562500015</c:v>
                </c:pt>
                <c:pt idx="117">
                  <c:v>8.3857812499999991</c:v>
                </c:pt>
                <c:pt idx="118">
                  <c:v>8.25732421875</c:v>
                </c:pt>
                <c:pt idx="119">
                  <c:v>8.1212499999999999</c:v>
                </c:pt>
                <c:pt idx="120">
                  <c:v>7.9775195312499978</c:v>
                </c:pt>
                <c:pt idx="121">
                  <c:v>7.8260937499999965</c:v>
                </c:pt>
                <c:pt idx="122">
                  <c:v>7.6669335937500014</c:v>
                </c:pt>
                <c:pt idx="123">
                  <c:v>7.4999999999999982</c:v>
                </c:pt>
                <c:pt idx="124">
                  <c:v>7.3252539062500004</c:v>
                </c:pt>
                <c:pt idx="125">
                  <c:v>7.1426562499999999</c:v>
                </c:pt>
                <c:pt idx="126">
                  <c:v>6.9521679687499986</c:v>
                </c:pt>
                <c:pt idx="127">
                  <c:v>6.7537499999999975</c:v>
                </c:pt>
                <c:pt idx="128">
                  <c:v>6.5473632812499982</c:v>
                </c:pt>
                <c:pt idx="129">
                  <c:v>6.33296875</c:v>
                </c:pt>
                <c:pt idx="130">
                  <c:v>6.1105273437500021</c:v>
                </c:pt>
                <c:pt idx="131">
                  <c:v>5.879999999999999</c:v>
                </c:pt>
                <c:pt idx="132">
                  <c:v>5.6413476562499989</c:v>
                </c:pt>
                <c:pt idx="133">
                  <c:v>5.3945312499999982</c:v>
                </c:pt>
                <c:pt idx="134">
                  <c:v>5.1395117187499979</c:v>
                </c:pt>
                <c:pt idx="135">
                  <c:v>4.8762500000000024</c:v>
                </c:pt>
                <c:pt idx="136">
                  <c:v>4.6047070312499958</c:v>
                </c:pt>
                <c:pt idx="137">
                  <c:v>4.3248437500000003</c:v>
                </c:pt>
                <c:pt idx="138">
                  <c:v>4.03662109375</c:v>
                </c:pt>
                <c:pt idx="139">
                  <c:v>3.7399999999999993</c:v>
                </c:pt>
                <c:pt idx="140">
                  <c:v>3.4349414062500006</c:v>
                </c:pt>
                <c:pt idx="141">
                  <c:v>3.1214062499999966</c:v>
                </c:pt>
                <c:pt idx="142">
                  <c:v>2.79935546875</c:v>
                </c:pt>
                <c:pt idx="143">
                  <c:v>2.4687499999999973</c:v>
                </c:pt>
                <c:pt idx="144">
                  <c:v>2.1295507812500034</c:v>
                </c:pt>
                <c:pt idx="145">
                  <c:v>1.7817187500000018</c:v>
                </c:pt>
                <c:pt idx="146">
                  <c:v>1.425214843749997</c:v>
                </c:pt>
                <c:pt idx="147">
                  <c:v>1.0599999999999972</c:v>
                </c:pt>
                <c:pt idx="148">
                  <c:v>0.68603515624999822</c:v>
                </c:pt>
                <c:pt idx="149">
                  <c:v>0.30328124999999928</c:v>
                </c:pt>
                <c:pt idx="150">
                  <c:v>-8.8300781250002292E-2</c:v>
                </c:pt>
                <c:pt idx="151">
                  <c:v>-0.48875000000000357</c:v>
                </c:pt>
                <c:pt idx="152">
                  <c:v>-0.89810546875000141</c:v>
                </c:pt>
                <c:pt idx="153">
                  <c:v>-1.3164062500000009</c:v>
                </c:pt>
                <c:pt idx="154">
                  <c:v>-1.7436914062500024</c:v>
                </c:pt>
                <c:pt idx="155">
                  <c:v>-2.1799999999999975</c:v>
                </c:pt>
                <c:pt idx="156">
                  <c:v>-2.6253710937500032</c:v>
                </c:pt>
                <c:pt idx="157">
                  <c:v>-3.0798437500000038</c:v>
                </c:pt>
                <c:pt idx="158">
                  <c:v>-3.5434570312500022</c:v>
                </c:pt>
                <c:pt idx="159">
                  <c:v>-4.0162499999999985</c:v>
                </c:pt>
                <c:pt idx="160">
                  <c:v>-4.4982617187500002</c:v>
                </c:pt>
                <c:pt idx="161">
                  <c:v>-4.989531250000006</c:v>
                </c:pt>
                <c:pt idx="162">
                  <c:v>-5.4900976562500006</c:v>
                </c:pt>
                <c:pt idx="163">
                  <c:v>-5.9999979416667495</c:v>
                </c:pt>
                <c:pt idx="164">
                  <c:v>-6</c:v>
                </c:pt>
                <c:pt idx="165">
                  <c:v>-5.9999994999999986</c:v>
                </c:pt>
                <c:pt idx="166">
                  <c:v>-5.8749999999999982</c:v>
                </c:pt>
                <c:pt idx="167">
                  <c:v>-5.7500000000000009</c:v>
                </c:pt>
                <c:pt idx="168">
                  <c:v>-5.6249999999999991</c:v>
                </c:pt>
                <c:pt idx="169">
                  <c:v>-5.5000000000000018</c:v>
                </c:pt>
                <c:pt idx="170">
                  <c:v>-5.375</c:v>
                </c:pt>
                <c:pt idx="171">
                  <c:v>-5.2499999999999982</c:v>
                </c:pt>
                <c:pt idx="172">
                  <c:v>-5.1250000000000009</c:v>
                </c:pt>
                <c:pt idx="173">
                  <c:v>-4.9999999999999991</c:v>
                </c:pt>
                <c:pt idx="174">
                  <c:v>-4.8750000000000018</c:v>
                </c:pt>
                <c:pt idx="175">
                  <c:v>-4.75</c:v>
                </c:pt>
                <c:pt idx="176">
                  <c:v>-4.6249999999999982</c:v>
                </c:pt>
                <c:pt idx="177">
                  <c:v>-4.5000000000000009</c:v>
                </c:pt>
                <c:pt idx="178">
                  <c:v>-4.3749999999999991</c:v>
                </c:pt>
                <c:pt idx="179">
                  <c:v>-4.2500000000000018</c:v>
                </c:pt>
                <c:pt idx="180">
                  <c:v>-4.125</c:v>
                </c:pt>
                <c:pt idx="181">
                  <c:v>-3.9999999999999982</c:v>
                </c:pt>
                <c:pt idx="182">
                  <c:v>-3.8750000000000009</c:v>
                </c:pt>
                <c:pt idx="183">
                  <c:v>-3.7499999999999991</c:v>
                </c:pt>
                <c:pt idx="184">
                  <c:v>-3.6250000000000018</c:v>
                </c:pt>
                <c:pt idx="185">
                  <c:v>-3.5</c:v>
                </c:pt>
                <c:pt idx="186">
                  <c:v>-3.3749999999999982</c:v>
                </c:pt>
                <c:pt idx="187">
                  <c:v>-3.2500000000000009</c:v>
                </c:pt>
                <c:pt idx="188">
                  <c:v>-3.1249999999999991</c:v>
                </c:pt>
                <c:pt idx="189">
                  <c:v>-3.0000000000000018</c:v>
                </c:pt>
                <c:pt idx="190">
                  <c:v>-2.875</c:v>
                </c:pt>
                <c:pt idx="191">
                  <c:v>-2.7499999999999982</c:v>
                </c:pt>
                <c:pt idx="192">
                  <c:v>-2.6250000000000009</c:v>
                </c:pt>
                <c:pt idx="193">
                  <c:v>-2.4999999999999991</c:v>
                </c:pt>
                <c:pt idx="194">
                  <c:v>-2.3750000000000018</c:v>
                </c:pt>
                <c:pt idx="195">
                  <c:v>-2.25</c:v>
                </c:pt>
                <c:pt idx="196">
                  <c:v>-2.1249999999999982</c:v>
                </c:pt>
                <c:pt idx="197">
                  <c:v>-2.0000000000000009</c:v>
                </c:pt>
                <c:pt idx="198">
                  <c:v>-1.8749999999999991</c:v>
                </c:pt>
                <c:pt idx="199">
                  <c:v>-1.7500000000000018</c:v>
                </c:pt>
                <c:pt idx="200">
                  <c:v>-1.625</c:v>
                </c:pt>
                <c:pt idx="201">
                  <c:v>-1.4999999999999982</c:v>
                </c:pt>
                <c:pt idx="202">
                  <c:v>-1.3750000000000009</c:v>
                </c:pt>
                <c:pt idx="203">
                  <c:v>-1.2499999999999991</c:v>
                </c:pt>
                <c:pt idx="204">
                  <c:v>-1.1250000000000018</c:v>
                </c:pt>
                <c:pt idx="205">
                  <c:v>-1.0000005000000014</c:v>
                </c:pt>
                <c:pt idx="206">
                  <c:v>-1</c:v>
                </c:pt>
                <c:pt idx="207">
                  <c:v>-0.99999989999999972</c:v>
                </c:pt>
                <c:pt idx="208">
                  <c:v>-0.97499999999999964</c:v>
                </c:pt>
                <c:pt idx="209">
                  <c:v>-0.95000000000000018</c:v>
                </c:pt>
                <c:pt idx="210">
                  <c:v>-0.92499999999999982</c:v>
                </c:pt>
                <c:pt idx="211">
                  <c:v>-0.90000000000000036</c:v>
                </c:pt>
                <c:pt idx="212">
                  <c:v>-0.875</c:v>
                </c:pt>
                <c:pt idx="213">
                  <c:v>-0.84999999999999964</c:v>
                </c:pt>
                <c:pt idx="214">
                  <c:v>-0.82500000000000018</c:v>
                </c:pt>
                <c:pt idx="215">
                  <c:v>-0.79999999999999982</c:v>
                </c:pt>
                <c:pt idx="216">
                  <c:v>-0.77500000000000036</c:v>
                </c:pt>
                <c:pt idx="217">
                  <c:v>-0.75</c:v>
                </c:pt>
                <c:pt idx="218">
                  <c:v>-0.72499999999999964</c:v>
                </c:pt>
                <c:pt idx="219">
                  <c:v>-0.70000000000000018</c:v>
                </c:pt>
                <c:pt idx="220">
                  <c:v>-0.67499999999999982</c:v>
                </c:pt>
                <c:pt idx="221">
                  <c:v>-0.65000000000000036</c:v>
                </c:pt>
                <c:pt idx="222">
                  <c:v>-0.625</c:v>
                </c:pt>
                <c:pt idx="223">
                  <c:v>-0.59999999999999964</c:v>
                </c:pt>
                <c:pt idx="224">
                  <c:v>-0.57500000000000018</c:v>
                </c:pt>
                <c:pt idx="225">
                  <c:v>-0.54999999999999982</c:v>
                </c:pt>
                <c:pt idx="226">
                  <c:v>-0.52500000000000036</c:v>
                </c:pt>
                <c:pt idx="227">
                  <c:v>-0.5</c:v>
                </c:pt>
                <c:pt idx="228">
                  <c:v>-0.47499999999999964</c:v>
                </c:pt>
                <c:pt idx="229">
                  <c:v>-0.45000000000000018</c:v>
                </c:pt>
                <c:pt idx="230">
                  <c:v>-0.42499999999999982</c:v>
                </c:pt>
                <c:pt idx="231">
                  <c:v>-0.40000000000000036</c:v>
                </c:pt>
                <c:pt idx="232">
                  <c:v>-0.375</c:v>
                </c:pt>
                <c:pt idx="233">
                  <c:v>-0.34999999999999964</c:v>
                </c:pt>
                <c:pt idx="234">
                  <c:v>-0.32500000000000018</c:v>
                </c:pt>
                <c:pt idx="235">
                  <c:v>-0.29999999999999982</c:v>
                </c:pt>
                <c:pt idx="236">
                  <c:v>-0.27500000000000036</c:v>
                </c:pt>
                <c:pt idx="237">
                  <c:v>-0.25</c:v>
                </c:pt>
                <c:pt idx="238">
                  <c:v>-0.22499999999999964</c:v>
                </c:pt>
                <c:pt idx="239">
                  <c:v>-0.20000000000000018</c:v>
                </c:pt>
                <c:pt idx="240">
                  <c:v>-0.17499999999999982</c:v>
                </c:pt>
                <c:pt idx="241">
                  <c:v>-0.15000000000000036</c:v>
                </c:pt>
                <c:pt idx="242">
                  <c:v>-0.125</c:v>
                </c:pt>
                <c:pt idx="243">
                  <c:v>-9.9999999999999645E-2</c:v>
                </c:pt>
                <c:pt idx="244">
                  <c:v>-7.5000000000000178E-2</c:v>
                </c:pt>
                <c:pt idx="245">
                  <c:v>-4.9999999999999822E-2</c:v>
                </c:pt>
                <c:pt idx="246">
                  <c:v>-2.5000000000000355E-2</c:v>
                </c:pt>
                <c:pt idx="247">
                  <c:v>-1.0000000028043132E-7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7BF-493A-B917-A9899F10A100}"/>
            </c:ext>
          </c:extLst>
        </c:ser>
        <c:ser>
          <c:idx val="1"/>
          <c:order val="1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AE0778D-F293-4B75-B9A7-0B94E380E87B}" type="CELLRANGE">
                      <a:rPr lang="en-US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C-46BE-A520-4DEF935C028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3050C4-0FE5-4365-9B7E-B6667A2F3280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ECC-46BE-A520-4DEF935C028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360ED4-FDBB-477F-B41B-4457B5C50E04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ECC-46BE-A520-4DEF935C028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D4D8533-1EEC-4956-9C1B-FE5131CF0B8D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ECC-46BE-A520-4DEF935C028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EC1D838-E7DE-4C72-809B-1A5B373739CB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ECC-46BE-A520-4DEF935C028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7FF9553-94A7-4019-9ECF-12884EA1A5D2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ECC-46BE-A520-4DEF935C028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BE9495A-FC37-424A-9D03-672173A4128D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ECC-46BE-A520-4DEF935C028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0A3194E-022D-4A04-AEA9-B0746F367687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ECC-46BE-A520-4DEF935C028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AC6FA64-0335-4214-9BC3-8F458CF8AEF0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AB3-4D93-A1E9-F9D2CBFEB06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EE1CA42-C805-4E32-AD9F-7E50878EAC84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AB3-4D93-A1E9-F9D2CBFEB06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0CB54AB-614D-44EA-805B-A16B5A83F141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7A3-48CE-A4F2-061BED027C7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579EE35-1697-4884-80D6-0BA9981A621A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7A3-48CE-A4F2-061BED027C7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3C44A81-FDD6-4095-8DAC-45B9EB749C4F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7A3-48CE-A4F2-061BED027C7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347C997-3763-432E-B2BA-2332A7654DC2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7A3-48CE-A4F2-061BED027C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[0]!LABELS_X</c:f>
              <c:numCache>
                <c:formatCode>0.000</c:formatCode>
                <c:ptCount val="14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 formatCode="0.00">
                  <c:v>5</c:v>
                </c:pt>
                <c:pt idx="11" formatCode="0.00">
                  <c:v>5.5</c:v>
                </c:pt>
                <c:pt idx="12" formatCode="0.00">
                  <c:v>6</c:v>
                </c:pt>
                <c:pt idx="13" formatCode="0.00">
                  <c:v>6.34</c:v>
                </c:pt>
              </c:numCache>
            </c:numRef>
          </c:xVal>
          <c:yVal>
            <c:numRef>
              <c:f>[0]!LABELS_Y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[0]!LABELS_X</c15:f>
                <c15:dlblRangeCache>
                  <c:ptCount val="14"/>
                  <c:pt idx="0">
                    <c:v>0.00</c:v>
                  </c:pt>
                  <c:pt idx="1">
                    <c:v>0.500</c:v>
                  </c:pt>
                  <c:pt idx="2">
                    <c:v>1.000</c:v>
                  </c:pt>
                  <c:pt idx="3">
                    <c:v>1.500</c:v>
                  </c:pt>
                  <c:pt idx="4">
                    <c:v>2.000</c:v>
                  </c:pt>
                  <c:pt idx="5">
                    <c:v>2.500</c:v>
                  </c:pt>
                  <c:pt idx="6">
                    <c:v>3.000</c:v>
                  </c:pt>
                  <c:pt idx="7">
                    <c:v>3.500</c:v>
                  </c:pt>
                  <c:pt idx="8">
                    <c:v>4.000</c:v>
                  </c:pt>
                  <c:pt idx="9">
                    <c:v>4.500</c:v>
                  </c:pt>
                  <c:pt idx="10">
                    <c:v>5.00</c:v>
                  </c:pt>
                  <c:pt idx="11">
                    <c:v>5.50</c:v>
                  </c:pt>
                  <c:pt idx="12">
                    <c:v>6.00</c:v>
                  </c:pt>
                  <c:pt idx="13">
                    <c:v>6.34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ECC-46BE-A520-4DEF935C0288}"/>
            </c:ext>
          </c:extLst>
        </c:ser>
        <c:ser>
          <c:idx val="2"/>
          <c:order val="2"/>
          <c:tx>
            <c:v>MAX-MIN</c:v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</c:spPr>
          </c:marker>
          <c:dLbls>
            <c:dLbl>
              <c:idx val="0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AB3-4D93-A1E9-F9D2CBFEB069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AB3-4D93-A1E9-F9D2CBFEB0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 sz="600" b="1" i="1" baseline="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xVal>
            <c:numRef>
              <c:f>Sheet1!$L$42:$L$43</c:f>
              <c:numCache>
                <c:formatCode>0.000</c:formatCode>
                <c:ptCount val="2"/>
                <c:pt idx="0">
                  <c:v>2.4249999999999998</c:v>
                </c:pt>
                <c:pt idx="1">
                  <c:v>4</c:v>
                </c:pt>
              </c:numCache>
            </c:numRef>
          </c:xVal>
          <c:yVal>
            <c:numRef>
              <c:f>Sheet1!$M$42:$M$43</c:f>
              <c:numCache>
                <c:formatCode>0.00" kNm"</c:formatCode>
                <c:ptCount val="2"/>
                <c:pt idx="0">
                  <c:v>9.4419726562499999</c:v>
                </c:pt>
                <c:pt idx="1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77-4352-B9F2-CCF93FD8C9F4}"/>
            </c:ext>
          </c:extLst>
        </c:ser>
        <c:ser>
          <c:idx val="3"/>
          <c:order val="3"/>
          <c:tx>
            <c:v>SUPPORTS</c:v>
          </c:tx>
          <c:spPr>
            <a:ln>
              <a:noFill/>
            </a:ln>
          </c:spPr>
          <c:marker>
            <c:symbol val="circl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Sheet1!$L$38:$L$39</c:f>
              <c:numCache>
                <c:formatCode>General</c:formatCode>
                <c:ptCount val="2"/>
                <c:pt idx="0">
                  <c:v>0</c:v>
                </c:pt>
                <c:pt idx="1">
                  <c:v>4</c:v>
                </c:pt>
              </c:numCache>
            </c:numRef>
          </c:xVal>
          <c:yVal>
            <c:numRef>
              <c:f>Sheet1!$M$38:$M$39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2A-4519-BA55-53980F58A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424240"/>
        <c:axId val="670423912"/>
      </c:scatterChart>
      <c:valAx>
        <c:axId val="670424240"/>
        <c:scaling>
          <c:orientation val="minMax"/>
          <c:min val="-0.5"/>
        </c:scaling>
        <c:delete val="0"/>
        <c:axPos val="t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0.0" sourceLinked="0"/>
        <c:majorTickMark val="cross"/>
        <c:minorTickMark val="cross"/>
        <c:tickLblPos val="none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423912"/>
        <c:crosses val="autoZero"/>
        <c:crossBetween val="midCat"/>
        <c:majorUnit val="0.5"/>
      </c:valAx>
      <c:valAx>
        <c:axId val="670423912"/>
        <c:scaling>
          <c:orientation val="maxMin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NZ"/>
                  <a:t>MOMENT</a:t>
                </a:r>
              </a:p>
            </c:rich>
          </c:tx>
          <c:layout>
            <c:manualLayout>
              <c:xMode val="edge"/>
              <c:yMode val="edge"/>
              <c:x val="5.0627774436920485E-3"/>
              <c:y val="0.36542039168729662"/>
            </c:manualLayout>
          </c:layout>
          <c:overlay val="0"/>
        </c:title>
        <c:numFmt formatCode="0.0" sourceLinked="0"/>
        <c:majorTickMark val="in"/>
        <c:minorTickMark val="in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424240"/>
        <c:crossesAt val="-0.5"/>
        <c:crossBetween val="midCat"/>
      </c:valAx>
      <c:spPr>
        <a:noFill/>
        <a:ln w="635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598605264610844E-2"/>
          <c:y val="6.4180458727187112E-2"/>
          <c:w val="0.88598605264610841"/>
          <c:h val="0.87518807355255157"/>
        </c:manualLayout>
      </c:layout>
      <c:scatterChart>
        <c:scatterStyle val="lineMarker"/>
        <c:varyColors val="0"/>
        <c:ser>
          <c:idx val="0"/>
          <c:order val="0"/>
          <c:tx>
            <c:v>SHEAR</c:v>
          </c:tx>
          <c:marker>
            <c:symbol val="none"/>
          </c:marker>
          <c:errBars>
            <c:errDir val="x"/>
            <c:errBarType val="both"/>
            <c:errValType val="percentage"/>
            <c:noEndCap val="1"/>
            <c:val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minus"/>
            <c:errValType val="percentage"/>
            <c:noEndCap val="1"/>
            <c:val val="100"/>
            <c:spPr>
              <a:noFill/>
              <a:ln w="3175" cap="flat" cmpd="sng" algn="ctr">
                <a:solidFill>
                  <a:schemeClr val="accent1">
                    <a:lumMod val="40000"/>
                    <a:lumOff val="60000"/>
                  </a:schemeClr>
                </a:solidFill>
                <a:round/>
              </a:ln>
              <a:effectLst/>
            </c:spPr>
          </c:errBars>
          <c:xVal>
            <c:numRef>
              <c:f>[0]!x_list</c:f>
              <c:numCache>
                <c:formatCode>0.000</c:formatCode>
                <c:ptCount val="267"/>
                <c:pt idx="0">
                  <c:v>0</c:v>
                </c:pt>
                <c:pt idx="1">
                  <c:v>9.9999999999999995E-8</c:v>
                </c:pt>
                <c:pt idx="2">
                  <c:v>2.5000000000000001E-2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0.125</c:v>
                </c:pt>
                <c:pt idx="7">
                  <c:v>0.15</c:v>
                </c:pt>
                <c:pt idx="8">
                  <c:v>0.17499999999999999</c:v>
                </c:pt>
                <c:pt idx="9">
                  <c:v>0.2</c:v>
                </c:pt>
                <c:pt idx="10">
                  <c:v>0.22500000000000001</c:v>
                </c:pt>
                <c:pt idx="11">
                  <c:v>0.25</c:v>
                </c:pt>
                <c:pt idx="12">
                  <c:v>0.27500000000000002</c:v>
                </c:pt>
                <c:pt idx="13">
                  <c:v>0.3</c:v>
                </c:pt>
                <c:pt idx="14">
                  <c:v>0.32500000000000001</c:v>
                </c:pt>
                <c:pt idx="15">
                  <c:v>0.35</c:v>
                </c:pt>
                <c:pt idx="16">
                  <c:v>0.375</c:v>
                </c:pt>
                <c:pt idx="17">
                  <c:v>0.4</c:v>
                </c:pt>
                <c:pt idx="18">
                  <c:v>0.42499999999999999</c:v>
                </c:pt>
                <c:pt idx="19">
                  <c:v>0.45</c:v>
                </c:pt>
                <c:pt idx="20">
                  <c:v>0.47499999999999998</c:v>
                </c:pt>
                <c:pt idx="21">
                  <c:v>0.5</c:v>
                </c:pt>
                <c:pt idx="22">
                  <c:v>0.52500000000000002</c:v>
                </c:pt>
                <c:pt idx="23">
                  <c:v>0.55000000000000004</c:v>
                </c:pt>
                <c:pt idx="24">
                  <c:v>0.57499999999999996</c:v>
                </c:pt>
                <c:pt idx="25">
                  <c:v>0.6</c:v>
                </c:pt>
                <c:pt idx="26">
                  <c:v>0.625</c:v>
                </c:pt>
                <c:pt idx="27">
                  <c:v>0.65</c:v>
                </c:pt>
                <c:pt idx="28">
                  <c:v>0.67500000000000004</c:v>
                </c:pt>
                <c:pt idx="29">
                  <c:v>0.7</c:v>
                </c:pt>
                <c:pt idx="30">
                  <c:v>0.72499999999999998</c:v>
                </c:pt>
                <c:pt idx="31">
                  <c:v>0.75</c:v>
                </c:pt>
                <c:pt idx="32">
                  <c:v>0.77500000000000002</c:v>
                </c:pt>
                <c:pt idx="33">
                  <c:v>0.8</c:v>
                </c:pt>
                <c:pt idx="34">
                  <c:v>0.82499999999999996</c:v>
                </c:pt>
                <c:pt idx="35">
                  <c:v>0.85</c:v>
                </c:pt>
                <c:pt idx="36">
                  <c:v>0.875</c:v>
                </c:pt>
                <c:pt idx="37">
                  <c:v>0.9</c:v>
                </c:pt>
                <c:pt idx="38">
                  <c:v>0.92500000000000004</c:v>
                </c:pt>
                <c:pt idx="39">
                  <c:v>0.95</c:v>
                </c:pt>
                <c:pt idx="40">
                  <c:v>0.97499999999999998</c:v>
                </c:pt>
                <c:pt idx="41">
                  <c:v>0.99999990000000005</c:v>
                </c:pt>
                <c:pt idx="42">
                  <c:v>1</c:v>
                </c:pt>
                <c:pt idx="43">
                  <c:v>1.0000001000000001</c:v>
                </c:pt>
                <c:pt idx="44">
                  <c:v>1.0249999999999999</c:v>
                </c:pt>
                <c:pt idx="45">
                  <c:v>1.05</c:v>
                </c:pt>
                <c:pt idx="46">
                  <c:v>1.075</c:v>
                </c:pt>
                <c:pt idx="47">
                  <c:v>1.1000000000000001</c:v>
                </c:pt>
                <c:pt idx="48">
                  <c:v>1.125</c:v>
                </c:pt>
                <c:pt idx="49">
                  <c:v>1.1499999999999999</c:v>
                </c:pt>
                <c:pt idx="50">
                  <c:v>1.175</c:v>
                </c:pt>
                <c:pt idx="51">
                  <c:v>1.2</c:v>
                </c:pt>
                <c:pt idx="52">
                  <c:v>1.2250000000000001</c:v>
                </c:pt>
                <c:pt idx="53">
                  <c:v>1.25</c:v>
                </c:pt>
                <c:pt idx="54">
                  <c:v>1.2749999999999999</c:v>
                </c:pt>
                <c:pt idx="55">
                  <c:v>1.3</c:v>
                </c:pt>
                <c:pt idx="56">
                  <c:v>1.325</c:v>
                </c:pt>
                <c:pt idx="57">
                  <c:v>1.35</c:v>
                </c:pt>
                <c:pt idx="58">
                  <c:v>1.375</c:v>
                </c:pt>
                <c:pt idx="59">
                  <c:v>1.4</c:v>
                </c:pt>
                <c:pt idx="60">
                  <c:v>1.425</c:v>
                </c:pt>
                <c:pt idx="61">
                  <c:v>1.45</c:v>
                </c:pt>
                <c:pt idx="62">
                  <c:v>1.4750000000000001</c:v>
                </c:pt>
                <c:pt idx="63">
                  <c:v>1.5</c:v>
                </c:pt>
                <c:pt idx="64">
                  <c:v>1.5249999999999999</c:v>
                </c:pt>
                <c:pt idx="65">
                  <c:v>1.55</c:v>
                </c:pt>
                <c:pt idx="66">
                  <c:v>1.575</c:v>
                </c:pt>
                <c:pt idx="67">
                  <c:v>1.6</c:v>
                </c:pt>
                <c:pt idx="68">
                  <c:v>1.625</c:v>
                </c:pt>
                <c:pt idx="69">
                  <c:v>1.65</c:v>
                </c:pt>
                <c:pt idx="70">
                  <c:v>1.675</c:v>
                </c:pt>
                <c:pt idx="71">
                  <c:v>1.7</c:v>
                </c:pt>
                <c:pt idx="72">
                  <c:v>1.7250000000000001</c:v>
                </c:pt>
                <c:pt idx="73">
                  <c:v>1.75</c:v>
                </c:pt>
                <c:pt idx="74">
                  <c:v>1.7749999999999999</c:v>
                </c:pt>
                <c:pt idx="75">
                  <c:v>1.8</c:v>
                </c:pt>
                <c:pt idx="76">
                  <c:v>1.825</c:v>
                </c:pt>
                <c:pt idx="77">
                  <c:v>1.85</c:v>
                </c:pt>
                <c:pt idx="78">
                  <c:v>1.875</c:v>
                </c:pt>
                <c:pt idx="79">
                  <c:v>1.9</c:v>
                </c:pt>
                <c:pt idx="80">
                  <c:v>1.925</c:v>
                </c:pt>
                <c:pt idx="81">
                  <c:v>1.95</c:v>
                </c:pt>
                <c:pt idx="82">
                  <c:v>1.9750000000000001</c:v>
                </c:pt>
                <c:pt idx="83">
                  <c:v>2</c:v>
                </c:pt>
                <c:pt idx="84">
                  <c:v>2.0249999999999999</c:v>
                </c:pt>
                <c:pt idx="85">
                  <c:v>2.0499999999999998</c:v>
                </c:pt>
                <c:pt idx="86">
                  <c:v>2.0750000000000002</c:v>
                </c:pt>
                <c:pt idx="87">
                  <c:v>2.1</c:v>
                </c:pt>
                <c:pt idx="88">
                  <c:v>2.125</c:v>
                </c:pt>
                <c:pt idx="89">
                  <c:v>2.15</c:v>
                </c:pt>
                <c:pt idx="90">
                  <c:v>2.1749999999999998</c:v>
                </c:pt>
                <c:pt idx="91">
                  <c:v>2.2000000000000002</c:v>
                </c:pt>
                <c:pt idx="92">
                  <c:v>2.2250000000000001</c:v>
                </c:pt>
                <c:pt idx="93">
                  <c:v>2.25</c:v>
                </c:pt>
                <c:pt idx="94">
                  <c:v>2.2749999999999999</c:v>
                </c:pt>
                <c:pt idx="95">
                  <c:v>2.2999999999999998</c:v>
                </c:pt>
                <c:pt idx="96">
                  <c:v>2.3250000000000002</c:v>
                </c:pt>
                <c:pt idx="97">
                  <c:v>2.35</c:v>
                </c:pt>
                <c:pt idx="98">
                  <c:v>2.375</c:v>
                </c:pt>
                <c:pt idx="99">
                  <c:v>2.4</c:v>
                </c:pt>
                <c:pt idx="100">
                  <c:v>2.4249999999999998</c:v>
                </c:pt>
                <c:pt idx="101">
                  <c:v>2.4500000000000002</c:v>
                </c:pt>
                <c:pt idx="102">
                  <c:v>2.4750000000000001</c:v>
                </c:pt>
                <c:pt idx="103">
                  <c:v>2.5</c:v>
                </c:pt>
                <c:pt idx="104">
                  <c:v>2.5249999999999999</c:v>
                </c:pt>
                <c:pt idx="105">
                  <c:v>2.5499999999999998</c:v>
                </c:pt>
                <c:pt idx="106">
                  <c:v>2.5750000000000002</c:v>
                </c:pt>
                <c:pt idx="107">
                  <c:v>2.6</c:v>
                </c:pt>
                <c:pt idx="108">
                  <c:v>2.625</c:v>
                </c:pt>
                <c:pt idx="109">
                  <c:v>2.65</c:v>
                </c:pt>
                <c:pt idx="110">
                  <c:v>2.6749999999999998</c:v>
                </c:pt>
                <c:pt idx="111">
                  <c:v>2.7</c:v>
                </c:pt>
                <c:pt idx="112">
                  <c:v>2.7250000000000001</c:v>
                </c:pt>
                <c:pt idx="113">
                  <c:v>2.75</c:v>
                </c:pt>
                <c:pt idx="114">
                  <c:v>2.7749999999999999</c:v>
                </c:pt>
                <c:pt idx="115">
                  <c:v>2.8</c:v>
                </c:pt>
                <c:pt idx="116">
                  <c:v>2.8250000000000002</c:v>
                </c:pt>
                <c:pt idx="117">
                  <c:v>2.85</c:v>
                </c:pt>
                <c:pt idx="118">
                  <c:v>2.875</c:v>
                </c:pt>
                <c:pt idx="119">
                  <c:v>2.9</c:v>
                </c:pt>
                <c:pt idx="120">
                  <c:v>2.9249999999999998</c:v>
                </c:pt>
                <c:pt idx="121">
                  <c:v>2.95</c:v>
                </c:pt>
                <c:pt idx="122">
                  <c:v>2.9750000000000001</c:v>
                </c:pt>
                <c:pt idx="123">
                  <c:v>3</c:v>
                </c:pt>
                <c:pt idx="124">
                  <c:v>3.0249999999999999</c:v>
                </c:pt>
                <c:pt idx="125">
                  <c:v>3.05</c:v>
                </c:pt>
                <c:pt idx="126">
                  <c:v>3.0750000000000002</c:v>
                </c:pt>
                <c:pt idx="127">
                  <c:v>3.1</c:v>
                </c:pt>
                <c:pt idx="128">
                  <c:v>3.125</c:v>
                </c:pt>
                <c:pt idx="129">
                  <c:v>3.15</c:v>
                </c:pt>
                <c:pt idx="130">
                  <c:v>3.1749999999999998</c:v>
                </c:pt>
                <c:pt idx="131">
                  <c:v>3.2</c:v>
                </c:pt>
                <c:pt idx="132">
                  <c:v>3.2250000000000001</c:v>
                </c:pt>
                <c:pt idx="133">
                  <c:v>3.25</c:v>
                </c:pt>
                <c:pt idx="134">
                  <c:v>3.2749999999999999</c:v>
                </c:pt>
                <c:pt idx="135">
                  <c:v>3.3</c:v>
                </c:pt>
                <c:pt idx="136">
                  <c:v>3.3250000000000002</c:v>
                </c:pt>
                <c:pt idx="137">
                  <c:v>3.35</c:v>
                </c:pt>
                <c:pt idx="138">
                  <c:v>3.375</c:v>
                </c:pt>
                <c:pt idx="139">
                  <c:v>3.4</c:v>
                </c:pt>
                <c:pt idx="140">
                  <c:v>3.4249999999999998</c:v>
                </c:pt>
                <c:pt idx="141">
                  <c:v>3.45</c:v>
                </c:pt>
                <c:pt idx="142">
                  <c:v>3.4750000000000001</c:v>
                </c:pt>
                <c:pt idx="143">
                  <c:v>3.5</c:v>
                </c:pt>
                <c:pt idx="144">
                  <c:v>3.5249999999999999</c:v>
                </c:pt>
                <c:pt idx="145">
                  <c:v>3.55</c:v>
                </c:pt>
                <c:pt idx="146">
                  <c:v>3.5750000000000002</c:v>
                </c:pt>
                <c:pt idx="147">
                  <c:v>3.6</c:v>
                </c:pt>
                <c:pt idx="148">
                  <c:v>3.625</c:v>
                </c:pt>
                <c:pt idx="149">
                  <c:v>3.65</c:v>
                </c:pt>
                <c:pt idx="150">
                  <c:v>3.6749999999999998</c:v>
                </c:pt>
                <c:pt idx="151">
                  <c:v>3.7</c:v>
                </c:pt>
                <c:pt idx="152">
                  <c:v>3.7250000000000001</c:v>
                </c:pt>
                <c:pt idx="153">
                  <c:v>3.75</c:v>
                </c:pt>
                <c:pt idx="154">
                  <c:v>3.7749999999999999</c:v>
                </c:pt>
                <c:pt idx="155">
                  <c:v>3.8</c:v>
                </c:pt>
                <c:pt idx="156">
                  <c:v>3.8250000000000002</c:v>
                </c:pt>
                <c:pt idx="157">
                  <c:v>3.85</c:v>
                </c:pt>
                <c:pt idx="158">
                  <c:v>3.875</c:v>
                </c:pt>
                <c:pt idx="159">
                  <c:v>3.9</c:v>
                </c:pt>
                <c:pt idx="160">
                  <c:v>3.9249999999999998</c:v>
                </c:pt>
                <c:pt idx="161">
                  <c:v>3.95</c:v>
                </c:pt>
                <c:pt idx="162">
                  <c:v>3.9750000000000001</c:v>
                </c:pt>
                <c:pt idx="163">
                  <c:v>3.9999999000000002</c:v>
                </c:pt>
                <c:pt idx="164">
                  <c:v>4</c:v>
                </c:pt>
                <c:pt idx="165">
                  <c:v>4.0000001000000003</c:v>
                </c:pt>
                <c:pt idx="166">
                  <c:v>4.0250000000000004</c:v>
                </c:pt>
                <c:pt idx="167">
                  <c:v>4.05</c:v>
                </c:pt>
                <c:pt idx="168">
                  <c:v>4.0750000000000002</c:v>
                </c:pt>
                <c:pt idx="169">
                  <c:v>4.0999999999999996</c:v>
                </c:pt>
                <c:pt idx="170">
                  <c:v>4.125</c:v>
                </c:pt>
                <c:pt idx="171">
                  <c:v>4.1500000000000004</c:v>
                </c:pt>
                <c:pt idx="172">
                  <c:v>4.1749999999999998</c:v>
                </c:pt>
                <c:pt idx="173">
                  <c:v>4.2</c:v>
                </c:pt>
                <c:pt idx="174">
                  <c:v>4.2249999999999996</c:v>
                </c:pt>
                <c:pt idx="175">
                  <c:v>4.25</c:v>
                </c:pt>
                <c:pt idx="176">
                  <c:v>4.2750000000000004</c:v>
                </c:pt>
                <c:pt idx="177">
                  <c:v>4.3</c:v>
                </c:pt>
                <c:pt idx="178">
                  <c:v>4.3250000000000002</c:v>
                </c:pt>
                <c:pt idx="179">
                  <c:v>4.3499999999999996</c:v>
                </c:pt>
                <c:pt idx="180">
                  <c:v>4.375</c:v>
                </c:pt>
                <c:pt idx="181">
                  <c:v>4.4000000000000004</c:v>
                </c:pt>
                <c:pt idx="182">
                  <c:v>4.4249999999999998</c:v>
                </c:pt>
                <c:pt idx="183">
                  <c:v>4.45</c:v>
                </c:pt>
                <c:pt idx="184">
                  <c:v>4.4749999999999996</c:v>
                </c:pt>
                <c:pt idx="185">
                  <c:v>4.5</c:v>
                </c:pt>
                <c:pt idx="186">
                  <c:v>4.5250000000000004</c:v>
                </c:pt>
                <c:pt idx="187">
                  <c:v>4.55</c:v>
                </c:pt>
                <c:pt idx="188">
                  <c:v>4.5750000000000002</c:v>
                </c:pt>
                <c:pt idx="189">
                  <c:v>4.5999999999999996</c:v>
                </c:pt>
                <c:pt idx="190">
                  <c:v>4.625</c:v>
                </c:pt>
                <c:pt idx="191">
                  <c:v>4.6500000000000004</c:v>
                </c:pt>
                <c:pt idx="192">
                  <c:v>4.6749999999999998</c:v>
                </c:pt>
                <c:pt idx="193">
                  <c:v>4.7</c:v>
                </c:pt>
                <c:pt idx="194">
                  <c:v>4.7249999999999996</c:v>
                </c:pt>
                <c:pt idx="195">
                  <c:v>4.75</c:v>
                </c:pt>
                <c:pt idx="196">
                  <c:v>4.7750000000000004</c:v>
                </c:pt>
                <c:pt idx="197">
                  <c:v>4.8</c:v>
                </c:pt>
                <c:pt idx="198">
                  <c:v>4.8250000000000002</c:v>
                </c:pt>
                <c:pt idx="199">
                  <c:v>4.8499999999999996</c:v>
                </c:pt>
                <c:pt idx="200">
                  <c:v>4.875</c:v>
                </c:pt>
                <c:pt idx="201">
                  <c:v>4.9000000000000004</c:v>
                </c:pt>
                <c:pt idx="202">
                  <c:v>4.9249999999999998</c:v>
                </c:pt>
                <c:pt idx="203">
                  <c:v>4.95</c:v>
                </c:pt>
                <c:pt idx="204">
                  <c:v>4.9749999999999996</c:v>
                </c:pt>
                <c:pt idx="205">
                  <c:v>4.9999998999999997</c:v>
                </c:pt>
                <c:pt idx="206">
                  <c:v>5</c:v>
                </c:pt>
                <c:pt idx="207">
                  <c:v>5.0000001000000003</c:v>
                </c:pt>
                <c:pt idx="208">
                  <c:v>5.0250000000000004</c:v>
                </c:pt>
                <c:pt idx="209">
                  <c:v>5.05</c:v>
                </c:pt>
                <c:pt idx="210">
                  <c:v>5.0750000000000002</c:v>
                </c:pt>
                <c:pt idx="211">
                  <c:v>5.0999999999999996</c:v>
                </c:pt>
                <c:pt idx="212">
                  <c:v>5.125</c:v>
                </c:pt>
                <c:pt idx="213">
                  <c:v>5.15</c:v>
                </c:pt>
                <c:pt idx="214">
                  <c:v>5.1749999999999998</c:v>
                </c:pt>
                <c:pt idx="215">
                  <c:v>5.2</c:v>
                </c:pt>
                <c:pt idx="216">
                  <c:v>5.2249999999999996</c:v>
                </c:pt>
                <c:pt idx="217">
                  <c:v>5.25</c:v>
                </c:pt>
                <c:pt idx="218">
                  <c:v>5.2750000000000004</c:v>
                </c:pt>
                <c:pt idx="219">
                  <c:v>5.3</c:v>
                </c:pt>
                <c:pt idx="220">
                  <c:v>5.3250000000000002</c:v>
                </c:pt>
                <c:pt idx="221">
                  <c:v>5.35</c:v>
                </c:pt>
                <c:pt idx="222">
                  <c:v>5.375</c:v>
                </c:pt>
                <c:pt idx="223">
                  <c:v>5.4</c:v>
                </c:pt>
                <c:pt idx="224">
                  <c:v>5.4249999999999998</c:v>
                </c:pt>
                <c:pt idx="225">
                  <c:v>5.45</c:v>
                </c:pt>
                <c:pt idx="226">
                  <c:v>5.4749999999999996</c:v>
                </c:pt>
                <c:pt idx="227">
                  <c:v>5.5</c:v>
                </c:pt>
                <c:pt idx="228">
                  <c:v>5.5250000000000004</c:v>
                </c:pt>
                <c:pt idx="229">
                  <c:v>5.55</c:v>
                </c:pt>
                <c:pt idx="230">
                  <c:v>5.5750000000000002</c:v>
                </c:pt>
                <c:pt idx="231">
                  <c:v>5.6</c:v>
                </c:pt>
                <c:pt idx="232">
                  <c:v>5.625</c:v>
                </c:pt>
                <c:pt idx="233">
                  <c:v>5.65</c:v>
                </c:pt>
                <c:pt idx="234">
                  <c:v>5.6749999999999998</c:v>
                </c:pt>
                <c:pt idx="235">
                  <c:v>5.7</c:v>
                </c:pt>
                <c:pt idx="236">
                  <c:v>5.7249999999999996</c:v>
                </c:pt>
                <c:pt idx="237">
                  <c:v>5.75</c:v>
                </c:pt>
                <c:pt idx="238">
                  <c:v>5.7750000000000004</c:v>
                </c:pt>
                <c:pt idx="239">
                  <c:v>5.8</c:v>
                </c:pt>
                <c:pt idx="240">
                  <c:v>5.8250000000000002</c:v>
                </c:pt>
                <c:pt idx="241">
                  <c:v>5.85</c:v>
                </c:pt>
                <c:pt idx="242">
                  <c:v>5.875</c:v>
                </c:pt>
                <c:pt idx="243">
                  <c:v>5.9</c:v>
                </c:pt>
                <c:pt idx="244">
                  <c:v>5.9249999999999998</c:v>
                </c:pt>
                <c:pt idx="245">
                  <c:v>5.95</c:v>
                </c:pt>
                <c:pt idx="246">
                  <c:v>5.9749999999999996</c:v>
                </c:pt>
                <c:pt idx="247">
                  <c:v>5.9999998999999997</c:v>
                </c:pt>
                <c:pt idx="248">
                  <c:v>6</c:v>
                </c:pt>
                <c:pt idx="249">
                  <c:v>6.0000001000000003</c:v>
                </c:pt>
                <c:pt idx="250">
                  <c:v>6.0250000000000004</c:v>
                </c:pt>
                <c:pt idx="251">
                  <c:v>6.05</c:v>
                </c:pt>
                <c:pt idx="252">
                  <c:v>6.0750000000000002</c:v>
                </c:pt>
                <c:pt idx="253">
                  <c:v>6.1</c:v>
                </c:pt>
                <c:pt idx="254">
                  <c:v>6.125</c:v>
                </c:pt>
                <c:pt idx="255">
                  <c:v>6.15</c:v>
                </c:pt>
                <c:pt idx="256">
                  <c:v>6.1749999999999998</c:v>
                </c:pt>
                <c:pt idx="257">
                  <c:v>6.2</c:v>
                </c:pt>
                <c:pt idx="258">
                  <c:v>6.2249999999999996</c:v>
                </c:pt>
                <c:pt idx="259">
                  <c:v>6.25</c:v>
                </c:pt>
                <c:pt idx="260">
                  <c:v>6.2750000000000004</c:v>
                </c:pt>
                <c:pt idx="261">
                  <c:v>6.3</c:v>
                </c:pt>
                <c:pt idx="262">
                  <c:v>6.3250000000000002</c:v>
                </c:pt>
                <c:pt idx="263">
                  <c:v>6.34</c:v>
                </c:pt>
                <c:pt idx="264">
                  <c:v>6.34</c:v>
                </c:pt>
                <c:pt idx="265">
                  <c:v>0</c:v>
                </c:pt>
                <c:pt idx="266">
                  <c:v>0</c:v>
                </c:pt>
              </c:numCache>
            </c:numRef>
          </c:xVal>
          <c:yVal>
            <c:numRef>
              <c:f>[0]!SHEAR_list</c:f>
              <c:numCache>
                <c:formatCode>0.000</c:formatCode>
                <c:ptCount val="267"/>
                <c:pt idx="0">
                  <c:v>4.4166666666666661</c:v>
                </c:pt>
                <c:pt idx="1">
                  <c:v>4.4166666666666687</c:v>
                </c:pt>
                <c:pt idx="2">
                  <c:v>4.4168229166666659</c:v>
                </c:pt>
                <c:pt idx="3">
                  <c:v>4.4172916666666664</c:v>
                </c:pt>
                <c:pt idx="4">
                  <c:v>4.4180729166666666</c:v>
                </c:pt>
                <c:pt idx="5">
                  <c:v>4.4191666666666665</c:v>
                </c:pt>
                <c:pt idx="6">
                  <c:v>4.4205729166666661</c:v>
                </c:pt>
                <c:pt idx="7">
                  <c:v>4.4222916666666663</c:v>
                </c:pt>
                <c:pt idx="8">
                  <c:v>4.4243229166666662</c:v>
                </c:pt>
                <c:pt idx="9">
                  <c:v>4.4266666666666667</c:v>
                </c:pt>
                <c:pt idx="10">
                  <c:v>4.4293229166666661</c:v>
                </c:pt>
                <c:pt idx="11">
                  <c:v>4.4322916666666661</c:v>
                </c:pt>
                <c:pt idx="12">
                  <c:v>4.4355729166666666</c:v>
                </c:pt>
                <c:pt idx="13">
                  <c:v>4.439166666666666</c:v>
                </c:pt>
                <c:pt idx="14">
                  <c:v>4.443072916666666</c:v>
                </c:pt>
                <c:pt idx="15">
                  <c:v>4.4472916666666666</c:v>
                </c:pt>
                <c:pt idx="16">
                  <c:v>4.4518229166666661</c:v>
                </c:pt>
                <c:pt idx="17">
                  <c:v>4.4566666666666661</c:v>
                </c:pt>
                <c:pt idx="18">
                  <c:v>4.4618229166666667</c:v>
                </c:pt>
                <c:pt idx="19">
                  <c:v>4.4672916666666662</c:v>
                </c:pt>
                <c:pt idx="20">
                  <c:v>4.4730729166666663</c:v>
                </c:pt>
                <c:pt idx="21">
                  <c:v>4.4791666666666661</c:v>
                </c:pt>
                <c:pt idx="22">
                  <c:v>4.4855729166666665</c:v>
                </c:pt>
                <c:pt idx="23">
                  <c:v>4.4922916666666666</c:v>
                </c:pt>
                <c:pt idx="24">
                  <c:v>4.4993229166666664</c:v>
                </c:pt>
                <c:pt idx="25">
                  <c:v>4.5066666666666659</c:v>
                </c:pt>
                <c:pt idx="26">
                  <c:v>4.5143229166666661</c:v>
                </c:pt>
                <c:pt idx="27">
                  <c:v>4.5222916666666659</c:v>
                </c:pt>
                <c:pt idx="28">
                  <c:v>4.5305729166666664</c:v>
                </c:pt>
                <c:pt idx="29">
                  <c:v>4.5391666666666666</c:v>
                </c:pt>
                <c:pt idx="30">
                  <c:v>4.5480729166666665</c:v>
                </c:pt>
                <c:pt idx="31">
                  <c:v>4.5572916666666661</c:v>
                </c:pt>
                <c:pt idx="32">
                  <c:v>4.5668229166666663</c:v>
                </c:pt>
                <c:pt idx="33">
                  <c:v>4.5766666666666662</c:v>
                </c:pt>
                <c:pt idx="34">
                  <c:v>4.5868229166666667</c:v>
                </c:pt>
                <c:pt idx="35">
                  <c:v>4.5972916666666661</c:v>
                </c:pt>
                <c:pt idx="36">
                  <c:v>4.6080729166666661</c:v>
                </c:pt>
                <c:pt idx="37">
                  <c:v>4.6191666666666666</c:v>
                </c:pt>
                <c:pt idx="38">
                  <c:v>4.630572916666666</c:v>
                </c:pt>
                <c:pt idx="39">
                  <c:v>4.642291666666666</c:v>
                </c:pt>
                <c:pt idx="40">
                  <c:v>4.6543229166666666</c:v>
                </c:pt>
                <c:pt idx="41">
                  <c:v>4.666666616666669</c:v>
                </c:pt>
                <c:pt idx="42">
                  <c:v>4.6666666666666661</c:v>
                </c:pt>
                <c:pt idx="43">
                  <c:v>3.6666667166666693</c:v>
                </c:pt>
                <c:pt idx="44">
                  <c:v>3.6793229166666661</c:v>
                </c:pt>
                <c:pt idx="45">
                  <c:v>3.6922916666666667</c:v>
                </c:pt>
                <c:pt idx="46">
                  <c:v>3.7055729166666662</c:v>
                </c:pt>
                <c:pt idx="47">
                  <c:v>3.7191666666666663</c:v>
                </c:pt>
                <c:pt idx="48">
                  <c:v>3.7330729166666661</c:v>
                </c:pt>
                <c:pt idx="49">
                  <c:v>3.7472916666666665</c:v>
                </c:pt>
                <c:pt idx="50">
                  <c:v>3.7618229166666666</c:v>
                </c:pt>
                <c:pt idx="51">
                  <c:v>3.7766666666666664</c:v>
                </c:pt>
                <c:pt idx="52">
                  <c:v>3.7918229166666668</c:v>
                </c:pt>
                <c:pt idx="53">
                  <c:v>3.8072916666666661</c:v>
                </c:pt>
                <c:pt idx="54">
                  <c:v>3.8230729166666659</c:v>
                </c:pt>
                <c:pt idx="55">
                  <c:v>3.8391666666666664</c:v>
                </c:pt>
                <c:pt idx="56">
                  <c:v>3.8555729166666666</c:v>
                </c:pt>
                <c:pt idx="57">
                  <c:v>3.8722916666666665</c:v>
                </c:pt>
                <c:pt idx="58">
                  <c:v>3.8893229166666661</c:v>
                </c:pt>
                <c:pt idx="59">
                  <c:v>3.9066666666666663</c:v>
                </c:pt>
                <c:pt idx="60">
                  <c:v>3.9243229166666662</c:v>
                </c:pt>
                <c:pt idx="61">
                  <c:v>3.9422916666666667</c:v>
                </c:pt>
                <c:pt idx="62">
                  <c:v>3.9605729166666661</c:v>
                </c:pt>
                <c:pt idx="63">
                  <c:v>3.9791666666666661</c:v>
                </c:pt>
                <c:pt idx="64">
                  <c:v>3.9980729166666666</c:v>
                </c:pt>
                <c:pt idx="65">
                  <c:v>4.0172916666666669</c:v>
                </c:pt>
                <c:pt idx="66">
                  <c:v>4.036822916666666</c:v>
                </c:pt>
                <c:pt idx="67">
                  <c:v>4.0566666666666666</c:v>
                </c:pt>
                <c:pt idx="68">
                  <c:v>4.0768229166666661</c:v>
                </c:pt>
                <c:pt idx="69">
                  <c:v>4.0972916666666661</c:v>
                </c:pt>
                <c:pt idx="70">
                  <c:v>4.1180729166666667</c:v>
                </c:pt>
                <c:pt idx="71">
                  <c:v>4.1391666666666662</c:v>
                </c:pt>
                <c:pt idx="72">
                  <c:v>4.1605729166666663</c:v>
                </c:pt>
                <c:pt idx="73">
                  <c:v>4.1822916666666661</c:v>
                </c:pt>
                <c:pt idx="74">
                  <c:v>4.2043229166666665</c:v>
                </c:pt>
                <c:pt idx="75">
                  <c:v>4.2266666666666666</c:v>
                </c:pt>
                <c:pt idx="76">
                  <c:v>4.2493229166666664</c:v>
                </c:pt>
                <c:pt idx="77">
                  <c:v>4.2722916666666668</c:v>
                </c:pt>
                <c:pt idx="78">
                  <c:v>4.2955729166666661</c:v>
                </c:pt>
                <c:pt idx="79">
                  <c:v>4.3191666666666659</c:v>
                </c:pt>
                <c:pt idx="80">
                  <c:v>4.3430729166666664</c:v>
                </c:pt>
                <c:pt idx="81">
                  <c:v>4.3672916666666666</c:v>
                </c:pt>
                <c:pt idx="82">
                  <c:v>4.3918229166666665</c:v>
                </c:pt>
                <c:pt idx="83">
                  <c:v>4.4166666666666661</c:v>
                </c:pt>
                <c:pt idx="84">
                  <c:v>4.1658854166666668</c:v>
                </c:pt>
                <c:pt idx="85">
                  <c:v>3.913541666666668</c:v>
                </c:pt>
                <c:pt idx="86">
                  <c:v>3.6596354166666645</c:v>
                </c:pt>
                <c:pt idx="87">
                  <c:v>3.404166666666665</c:v>
                </c:pt>
                <c:pt idx="88">
                  <c:v>3.1471354166666661</c:v>
                </c:pt>
                <c:pt idx="89">
                  <c:v>2.8885416666666668</c:v>
                </c:pt>
                <c:pt idx="90">
                  <c:v>2.628385416666668</c:v>
                </c:pt>
                <c:pt idx="91">
                  <c:v>2.3666666666666645</c:v>
                </c:pt>
                <c:pt idx="92">
                  <c:v>2.1033854166666655</c:v>
                </c:pt>
                <c:pt idx="93">
                  <c:v>1.8385416666666665</c:v>
                </c:pt>
                <c:pt idx="94">
                  <c:v>1.5721354166666672</c:v>
                </c:pt>
                <c:pt idx="95">
                  <c:v>1.3041666666666685</c:v>
                </c:pt>
                <c:pt idx="96">
                  <c:v>1.0346354166666645</c:v>
                </c:pt>
                <c:pt idx="97">
                  <c:v>0.76354166666666545</c:v>
                </c:pt>
                <c:pt idx="98">
                  <c:v>0.49088541666666652</c:v>
                </c:pt>
                <c:pt idx="99">
                  <c:v>0.21666666666666701</c:v>
                </c:pt>
                <c:pt idx="100">
                  <c:v>-5.9114583333331749E-2</c:v>
                </c:pt>
                <c:pt idx="101">
                  <c:v>-0.3364583333333353</c:v>
                </c:pt>
                <c:pt idx="102">
                  <c:v>-0.61536458333333477</c:v>
                </c:pt>
                <c:pt idx="103">
                  <c:v>-0.8958333333333337</c:v>
                </c:pt>
                <c:pt idx="104">
                  <c:v>-1.177864583333333</c:v>
                </c:pt>
                <c:pt idx="105">
                  <c:v>-1.4614583333333317</c:v>
                </c:pt>
                <c:pt idx="106">
                  <c:v>-1.7466145833333353</c:v>
                </c:pt>
                <c:pt idx="107">
                  <c:v>-2.033333333333335</c:v>
                </c:pt>
                <c:pt idx="108">
                  <c:v>-2.3216145833333339</c:v>
                </c:pt>
                <c:pt idx="109">
                  <c:v>-2.6114583333333332</c:v>
                </c:pt>
                <c:pt idx="110">
                  <c:v>-2.902864583333332</c:v>
                </c:pt>
                <c:pt idx="111">
                  <c:v>-3.1958333333333355</c:v>
                </c:pt>
                <c:pt idx="112">
                  <c:v>-3.490364583333335</c:v>
                </c:pt>
                <c:pt idx="113">
                  <c:v>-3.7864583333333335</c:v>
                </c:pt>
                <c:pt idx="114">
                  <c:v>-4.0841145833333332</c:v>
                </c:pt>
                <c:pt idx="115">
                  <c:v>-4.3833333333333311</c:v>
                </c:pt>
                <c:pt idx="116">
                  <c:v>-4.6841145833333364</c:v>
                </c:pt>
                <c:pt idx="117">
                  <c:v>-4.986458333333335</c:v>
                </c:pt>
                <c:pt idx="118">
                  <c:v>-5.2903645833333339</c:v>
                </c:pt>
                <c:pt idx="119">
                  <c:v>-5.5958333333333332</c:v>
                </c:pt>
                <c:pt idx="120">
                  <c:v>-5.9028645833333311</c:v>
                </c:pt>
                <c:pt idx="121">
                  <c:v>-6.2114583333333364</c:v>
                </c:pt>
                <c:pt idx="122">
                  <c:v>-6.521614583333335</c:v>
                </c:pt>
                <c:pt idx="123">
                  <c:v>-6.8333333333333339</c:v>
                </c:pt>
                <c:pt idx="124">
                  <c:v>-7.1466145833333332</c:v>
                </c:pt>
                <c:pt idx="125">
                  <c:v>-7.4614583333333311</c:v>
                </c:pt>
                <c:pt idx="126">
                  <c:v>-7.7778645833333364</c:v>
                </c:pt>
                <c:pt idx="127">
                  <c:v>-8.095833333333335</c:v>
                </c:pt>
                <c:pt idx="128">
                  <c:v>-8.4153645833333339</c:v>
                </c:pt>
                <c:pt idx="129">
                  <c:v>-8.7364583333333332</c:v>
                </c:pt>
                <c:pt idx="130">
                  <c:v>-9.0591145833333311</c:v>
                </c:pt>
                <c:pt idx="131">
                  <c:v>-9.3833333333333364</c:v>
                </c:pt>
                <c:pt idx="132">
                  <c:v>-9.709114583333335</c:v>
                </c:pt>
                <c:pt idx="133">
                  <c:v>-10.036458333333334</c:v>
                </c:pt>
                <c:pt idx="134">
                  <c:v>-10.365364583333333</c:v>
                </c:pt>
                <c:pt idx="135">
                  <c:v>-10.695833333333331</c:v>
                </c:pt>
                <c:pt idx="136">
                  <c:v>-11.027864583333335</c:v>
                </c:pt>
                <c:pt idx="137">
                  <c:v>-11.361458333333333</c:v>
                </c:pt>
                <c:pt idx="138">
                  <c:v>-11.696614583333334</c:v>
                </c:pt>
                <c:pt idx="139">
                  <c:v>-12.033333333333333</c:v>
                </c:pt>
                <c:pt idx="140">
                  <c:v>-12.371614583333331</c:v>
                </c:pt>
                <c:pt idx="141">
                  <c:v>-12.711458333333335</c:v>
                </c:pt>
                <c:pt idx="142">
                  <c:v>-13.052864583333333</c:v>
                </c:pt>
                <c:pt idx="143">
                  <c:v>-13.395833333333334</c:v>
                </c:pt>
                <c:pt idx="144">
                  <c:v>-13.740364583333333</c:v>
                </c:pt>
                <c:pt idx="145">
                  <c:v>-14.086458333333331</c:v>
                </c:pt>
                <c:pt idx="146">
                  <c:v>-14.434114583333335</c:v>
                </c:pt>
                <c:pt idx="147">
                  <c:v>-14.783333333333337</c:v>
                </c:pt>
                <c:pt idx="148">
                  <c:v>-15.134114583333334</c:v>
                </c:pt>
                <c:pt idx="149">
                  <c:v>-15.486458333333333</c:v>
                </c:pt>
                <c:pt idx="150">
                  <c:v>-15.840364583333331</c:v>
                </c:pt>
                <c:pt idx="151">
                  <c:v>-16.195833333333333</c:v>
                </c:pt>
                <c:pt idx="152">
                  <c:v>-16.552864583333339</c:v>
                </c:pt>
                <c:pt idx="153">
                  <c:v>-16.911458333333336</c:v>
                </c:pt>
                <c:pt idx="154">
                  <c:v>-17.271614583333331</c:v>
                </c:pt>
                <c:pt idx="155">
                  <c:v>-17.633333333333333</c:v>
                </c:pt>
                <c:pt idx="156">
                  <c:v>-17.996614583333336</c:v>
                </c:pt>
                <c:pt idx="157">
                  <c:v>-18.361458333333339</c:v>
                </c:pt>
                <c:pt idx="158">
                  <c:v>-18.727864583333336</c:v>
                </c:pt>
                <c:pt idx="159">
                  <c:v>-19.095833333333335</c:v>
                </c:pt>
                <c:pt idx="160">
                  <c:v>-19.465364583333333</c:v>
                </c:pt>
                <c:pt idx="161">
                  <c:v>-19.836458333333336</c:v>
                </c:pt>
                <c:pt idx="162">
                  <c:v>-20.209114583333339</c:v>
                </c:pt>
                <c:pt idx="163">
                  <c:v>-20.58333183333335</c:v>
                </c:pt>
                <c:pt idx="164">
                  <c:v>-20.583333333333336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4.4166666666666661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11-4F2B-8894-5FAA2470F240}"/>
            </c:ext>
          </c:extLst>
        </c:ser>
        <c:ser>
          <c:idx val="1"/>
          <c:order val="1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02B3E11-0A35-4EE1-8162-51C8F3741C12}" type="CELLRANGE">
                      <a:rPr lang="en-US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B9F-4E75-BBDA-C29BE985D9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3201DF-0837-4137-ACB8-961A672B738B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B9F-4E75-BBDA-C29BE985D92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47CE4F8-21A7-4B26-912D-DA099724D7BB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B9F-4E75-BBDA-C29BE985D92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28BF09-6A5C-4F7E-A547-994D7A81975E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B9F-4E75-BBDA-C29BE985D92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7B9C1EE-B4D8-4868-84DB-46D21392A19A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B9F-4E75-BBDA-C29BE985D92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D3BD5A3-911D-4A36-8425-1049FF0E8C7D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B9F-4E75-BBDA-C29BE985D92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5E68629-D004-4579-849A-FA03CF8790ED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B9F-4E75-BBDA-C29BE985D92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DD6AAE-4F7B-458F-94B3-F4C6C4E928F1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B9F-4E75-BBDA-C29BE985D92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2871DE2-5391-40E7-857C-313CD4D5A065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8AF-48DB-ADFE-F34D8376E6C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A6EEA62-BECA-41D5-B2CD-3208A4DEB55A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8AF-48DB-ADFE-F34D8376E6C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418A049-C01A-420A-BA81-568423600027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4A0-48C0-A6CC-CEEECB70E25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46E3CA5-26B3-42EA-97F6-F9D101AB79D5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4A0-48C0-A6CC-CEEECB70E25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19F91D6-D769-42C7-BBD6-D6302F64D301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4A0-48C0-A6CC-CEEECB70E25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31A52D9-870E-48C2-A4CA-BF5D98B57D0C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4A0-48C0-A6CC-CEEECB70E2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[0]!LABELS_X</c:f>
              <c:numCache>
                <c:formatCode>0.000</c:formatCode>
                <c:ptCount val="14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 formatCode="0.00">
                  <c:v>5</c:v>
                </c:pt>
                <c:pt idx="11" formatCode="0.00">
                  <c:v>5.5</c:v>
                </c:pt>
                <c:pt idx="12" formatCode="0.00">
                  <c:v>6</c:v>
                </c:pt>
                <c:pt idx="13" formatCode="0.00">
                  <c:v>6.34</c:v>
                </c:pt>
              </c:numCache>
            </c:numRef>
          </c:xVal>
          <c:yVal>
            <c:numRef>
              <c:f>[0]!LABELS_Y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[0]!LABELS_X</c15:f>
                <c15:dlblRangeCache>
                  <c:ptCount val="14"/>
                  <c:pt idx="0">
                    <c:v>0.00</c:v>
                  </c:pt>
                  <c:pt idx="1">
                    <c:v>0.500</c:v>
                  </c:pt>
                  <c:pt idx="2">
                    <c:v>1.000</c:v>
                  </c:pt>
                  <c:pt idx="3">
                    <c:v>1.500</c:v>
                  </c:pt>
                  <c:pt idx="4">
                    <c:v>2.000</c:v>
                  </c:pt>
                  <c:pt idx="5">
                    <c:v>2.500</c:v>
                  </c:pt>
                  <c:pt idx="6">
                    <c:v>3.000</c:v>
                  </c:pt>
                  <c:pt idx="7">
                    <c:v>3.500</c:v>
                  </c:pt>
                  <c:pt idx="8">
                    <c:v>4.000</c:v>
                  </c:pt>
                  <c:pt idx="9">
                    <c:v>4.500</c:v>
                  </c:pt>
                  <c:pt idx="10">
                    <c:v>5.00</c:v>
                  </c:pt>
                  <c:pt idx="11">
                    <c:v>5.50</c:v>
                  </c:pt>
                  <c:pt idx="12">
                    <c:v>6.00</c:v>
                  </c:pt>
                  <c:pt idx="13">
                    <c:v>6.34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6B9F-4E75-BBDA-C29BE985D926}"/>
            </c:ext>
          </c:extLst>
        </c:ser>
        <c:ser>
          <c:idx val="2"/>
          <c:order val="2"/>
          <c:tx>
            <c:v>MAX-MIN</c:v>
          </c:tx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</c:spPr>
          </c:marker>
          <c:dPt>
            <c:idx val="1"/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6-28AF-48DB-ADFE-F34D8376E6CB}"/>
              </c:ext>
            </c:extLst>
          </c:dPt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AF-48DB-ADFE-F34D8376E6CB}"/>
                </c:ext>
              </c:extLst>
            </c:dLbl>
            <c:dLbl>
              <c:idx val="1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AF-48DB-ADFE-F34D8376E6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 sz="600" b="1" i="1" baseline="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xVal>
            <c:numRef>
              <c:f>Sheet1!$L$46:$L$47</c:f>
              <c:numCache>
                <c:formatCode>0.000</c:formatCode>
                <c:ptCount val="2"/>
                <c:pt idx="0">
                  <c:v>5</c:v>
                </c:pt>
                <c:pt idx="1">
                  <c:v>4</c:v>
                </c:pt>
              </c:numCache>
            </c:numRef>
          </c:xVal>
          <c:yVal>
            <c:numRef>
              <c:f>Sheet1!$M$46:$M$47</c:f>
              <c:numCache>
                <c:formatCode>0.00" kN"</c:formatCode>
                <c:ptCount val="2"/>
                <c:pt idx="0">
                  <c:v>5</c:v>
                </c:pt>
                <c:pt idx="1">
                  <c:v>-20.583333333333336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8AF-48DB-ADFE-F34D8376E6CB}"/>
            </c:ext>
          </c:extLst>
        </c:ser>
        <c:ser>
          <c:idx val="3"/>
          <c:order val="3"/>
          <c:tx>
            <c:v>SUPPORTS</c:v>
          </c:tx>
          <c:spPr>
            <a:ln>
              <a:noFill/>
            </a:ln>
          </c:spPr>
          <c:marker>
            <c:symbol val="circl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Sheet1!$L$38:$L$39</c:f>
              <c:numCache>
                <c:formatCode>General</c:formatCode>
                <c:ptCount val="2"/>
                <c:pt idx="0">
                  <c:v>0</c:v>
                </c:pt>
                <c:pt idx="1">
                  <c:v>4</c:v>
                </c:pt>
              </c:numCache>
            </c:numRef>
          </c:xVal>
          <c:yVal>
            <c:numRef>
              <c:f>Sheet1!$M$38:$M$39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A12-46C2-A1DD-1A874F151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424240"/>
        <c:axId val="670423912"/>
      </c:scatterChart>
      <c:valAx>
        <c:axId val="670424240"/>
        <c:scaling>
          <c:orientation val="minMax"/>
          <c:min val="-0.5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0.0" sourceLinked="0"/>
        <c:majorTickMark val="cross"/>
        <c:minorTickMark val="cross"/>
        <c:tickLblPos val="none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423912"/>
        <c:crosses val="autoZero"/>
        <c:crossBetween val="midCat"/>
        <c:majorUnit val="0.5"/>
      </c:valAx>
      <c:valAx>
        <c:axId val="67042391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NZ"/>
                  <a:t>SHEAR</a:t>
                </a:r>
              </a:p>
            </c:rich>
          </c:tx>
          <c:layout>
            <c:manualLayout>
              <c:xMode val="edge"/>
              <c:yMode val="edge"/>
              <c:x val="5.0627774436920485E-3"/>
              <c:y val="0.40373895965176243"/>
            </c:manualLayout>
          </c:layout>
          <c:overlay val="0"/>
        </c:title>
        <c:numFmt formatCode="0.0" sourceLinked="0"/>
        <c:majorTickMark val="in"/>
        <c:minorTickMark val="in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424240"/>
        <c:crossesAt val="-0.5"/>
        <c:crossBetween val="midCat"/>
      </c:valAx>
      <c:spPr>
        <a:noFill/>
        <a:ln w="635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598605264610844E-2"/>
          <c:y val="6.4139499969009195E-2"/>
          <c:w val="0.88598605264610841"/>
          <c:h val="0.87462954503194357"/>
        </c:manualLayout>
      </c:layout>
      <c:scatterChart>
        <c:scatterStyle val="lineMarker"/>
        <c:varyColors val="0"/>
        <c:ser>
          <c:idx val="0"/>
          <c:order val="0"/>
          <c:tx>
            <c:v>DEFLECTION</c:v>
          </c:tx>
          <c:spPr>
            <a:ln w="15875"/>
          </c:spPr>
          <c:marker>
            <c:symbol val="none"/>
          </c:marker>
          <c:xVal>
            <c:numRef>
              <c:f>[0]!x_list</c:f>
              <c:numCache>
                <c:formatCode>0.000</c:formatCode>
                <c:ptCount val="267"/>
                <c:pt idx="0">
                  <c:v>0</c:v>
                </c:pt>
                <c:pt idx="1">
                  <c:v>9.9999999999999995E-8</c:v>
                </c:pt>
                <c:pt idx="2">
                  <c:v>2.5000000000000001E-2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0.125</c:v>
                </c:pt>
                <c:pt idx="7">
                  <c:v>0.15</c:v>
                </c:pt>
                <c:pt idx="8">
                  <c:v>0.17499999999999999</c:v>
                </c:pt>
                <c:pt idx="9">
                  <c:v>0.2</c:v>
                </c:pt>
                <c:pt idx="10">
                  <c:v>0.22500000000000001</c:v>
                </c:pt>
                <c:pt idx="11">
                  <c:v>0.25</c:v>
                </c:pt>
                <c:pt idx="12">
                  <c:v>0.27500000000000002</c:v>
                </c:pt>
                <c:pt idx="13">
                  <c:v>0.3</c:v>
                </c:pt>
                <c:pt idx="14">
                  <c:v>0.32500000000000001</c:v>
                </c:pt>
                <c:pt idx="15">
                  <c:v>0.35</c:v>
                </c:pt>
                <c:pt idx="16">
                  <c:v>0.375</c:v>
                </c:pt>
                <c:pt idx="17">
                  <c:v>0.4</c:v>
                </c:pt>
                <c:pt idx="18">
                  <c:v>0.42499999999999999</c:v>
                </c:pt>
                <c:pt idx="19">
                  <c:v>0.45</c:v>
                </c:pt>
                <c:pt idx="20">
                  <c:v>0.47499999999999998</c:v>
                </c:pt>
                <c:pt idx="21">
                  <c:v>0.5</c:v>
                </c:pt>
                <c:pt idx="22">
                  <c:v>0.52500000000000002</c:v>
                </c:pt>
                <c:pt idx="23">
                  <c:v>0.55000000000000004</c:v>
                </c:pt>
                <c:pt idx="24">
                  <c:v>0.57499999999999996</c:v>
                </c:pt>
                <c:pt idx="25">
                  <c:v>0.6</c:v>
                </c:pt>
                <c:pt idx="26">
                  <c:v>0.625</c:v>
                </c:pt>
                <c:pt idx="27">
                  <c:v>0.65</c:v>
                </c:pt>
                <c:pt idx="28">
                  <c:v>0.67500000000000004</c:v>
                </c:pt>
                <c:pt idx="29">
                  <c:v>0.7</c:v>
                </c:pt>
                <c:pt idx="30">
                  <c:v>0.72499999999999998</c:v>
                </c:pt>
                <c:pt idx="31">
                  <c:v>0.75</c:v>
                </c:pt>
                <c:pt idx="32">
                  <c:v>0.77500000000000002</c:v>
                </c:pt>
                <c:pt idx="33">
                  <c:v>0.8</c:v>
                </c:pt>
                <c:pt idx="34">
                  <c:v>0.82499999999999996</c:v>
                </c:pt>
                <c:pt idx="35">
                  <c:v>0.85</c:v>
                </c:pt>
                <c:pt idx="36">
                  <c:v>0.875</c:v>
                </c:pt>
                <c:pt idx="37">
                  <c:v>0.9</c:v>
                </c:pt>
                <c:pt idx="38">
                  <c:v>0.92500000000000004</c:v>
                </c:pt>
                <c:pt idx="39">
                  <c:v>0.95</c:v>
                </c:pt>
                <c:pt idx="40">
                  <c:v>0.97499999999999998</c:v>
                </c:pt>
                <c:pt idx="41">
                  <c:v>0.99999990000000005</c:v>
                </c:pt>
                <c:pt idx="42">
                  <c:v>1</c:v>
                </c:pt>
                <c:pt idx="43">
                  <c:v>1.0000001000000001</c:v>
                </c:pt>
                <c:pt idx="44">
                  <c:v>1.0249999999999999</c:v>
                </c:pt>
                <c:pt idx="45">
                  <c:v>1.05</c:v>
                </c:pt>
                <c:pt idx="46">
                  <c:v>1.075</c:v>
                </c:pt>
                <c:pt idx="47">
                  <c:v>1.1000000000000001</c:v>
                </c:pt>
                <c:pt idx="48">
                  <c:v>1.125</c:v>
                </c:pt>
                <c:pt idx="49">
                  <c:v>1.1499999999999999</c:v>
                </c:pt>
                <c:pt idx="50">
                  <c:v>1.175</c:v>
                </c:pt>
                <c:pt idx="51">
                  <c:v>1.2</c:v>
                </c:pt>
                <c:pt idx="52">
                  <c:v>1.2250000000000001</c:v>
                </c:pt>
                <c:pt idx="53">
                  <c:v>1.25</c:v>
                </c:pt>
                <c:pt idx="54">
                  <c:v>1.2749999999999999</c:v>
                </c:pt>
                <c:pt idx="55">
                  <c:v>1.3</c:v>
                </c:pt>
                <c:pt idx="56">
                  <c:v>1.325</c:v>
                </c:pt>
                <c:pt idx="57">
                  <c:v>1.35</c:v>
                </c:pt>
                <c:pt idx="58">
                  <c:v>1.375</c:v>
                </c:pt>
                <c:pt idx="59">
                  <c:v>1.4</c:v>
                </c:pt>
                <c:pt idx="60">
                  <c:v>1.425</c:v>
                </c:pt>
                <c:pt idx="61">
                  <c:v>1.45</c:v>
                </c:pt>
                <c:pt idx="62">
                  <c:v>1.4750000000000001</c:v>
                </c:pt>
                <c:pt idx="63">
                  <c:v>1.5</c:v>
                </c:pt>
                <c:pt idx="64">
                  <c:v>1.5249999999999999</c:v>
                </c:pt>
                <c:pt idx="65">
                  <c:v>1.55</c:v>
                </c:pt>
                <c:pt idx="66">
                  <c:v>1.575</c:v>
                </c:pt>
                <c:pt idx="67">
                  <c:v>1.6</c:v>
                </c:pt>
                <c:pt idx="68">
                  <c:v>1.625</c:v>
                </c:pt>
                <c:pt idx="69">
                  <c:v>1.65</c:v>
                </c:pt>
                <c:pt idx="70">
                  <c:v>1.675</c:v>
                </c:pt>
                <c:pt idx="71">
                  <c:v>1.7</c:v>
                </c:pt>
                <c:pt idx="72">
                  <c:v>1.7250000000000001</c:v>
                </c:pt>
                <c:pt idx="73">
                  <c:v>1.75</c:v>
                </c:pt>
                <c:pt idx="74">
                  <c:v>1.7749999999999999</c:v>
                </c:pt>
                <c:pt idx="75">
                  <c:v>1.8</c:v>
                </c:pt>
                <c:pt idx="76">
                  <c:v>1.825</c:v>
                </c:pt>
                <c:pt idx="77">
                  <c:v>1.85</c:v>
                </c:pt>
                <c:pt idx="78">
                  <c:v>1.875</c:v>
                </c:pt>
                <c:pt idx="79">
                  <c:v>1.9</c:v>
                </c:pt>
                <c:pt idx="80">
                  <c:v>1.925</c:v>
                </c:pt>
                <c:pt idx="81">
                  <c:v>1.95</c:v>
                </c:pt>
                <c:pt idx="82">
                  <c:v>1.9750000000000001</c:v>
                </c:pt>
                <c:pt idx="83">
                  <c:v>2</c:v>
                </c:pt>
                <c:pt idx="84">
                  <c:v>2.0249999999999999</c:v>
                </c:pt>
                <c:pt idx="85">
                  <c:v>2.0499999999999998</c:v>
                </c:pt>
                <c:pt idx="86">
                  <c:v>2.0750000000000002</c:v>
                </c:pt>
                <c:pt idx="87">
                  <c:v>2.1</c:v>
                </c:pt>
                <c:pt idx="88">
                  <c:v>2.125</c:v>
                </c:pt>
                <c:pt idx="89">
                  <c:v>2.15</c:v>
                </c:pt>
                <c:pt idx="90">
                  <c:v>2.1749999999999998</c:v>
                </c:pt>
                <c:pt idx="91">
                  <c:v>2.2000000000000002</c:v>
                </c:pt>
                <c:pt idx="92">
                  <c:v>2.2250000000000001</c:v>
                </c:pt>
                <c:pt idx="93">
                  <c:v>2.25</c:v>
                </c:pt>
                <c:pt idx="94">
                  <c:v>2.2749999999999999</c:v>
                </c:pt>
                <c:pt idx="95">
                  <c:v>2.2999999999999998</c:v>
                </c:pt>
                <c:pt idx="96">
                  <c:v>2.3250000000000002</c:v>
                </c:pt>
                <c:pt idx="97">
                  <c:v>2.35</c:v>
                </c:pt>
                <c:pt idx="98">
                  <c:v>2.375</c:v>
                </c:pt>
                <c:pt idx="99">
                  <c:v>2.4</c:v>
                </c:pt>
                <c:pt idx="100">
                  <c:v>2.4249999999999998</c:v>
                </c:pt>
                <c:pt idx="101">
                  <c:v>2.4500000000000002</c:v>
                </c:pt>
                <c:pt idx="102">
                  <c:v>2.4750000000000001</c:v>
                </c:pt>
                <c:pt idx="103">
                  <c:v>2.5</c:v>
                </c:pt>
                <c:pt idx="104">
                  <c:v>2.5249999999999999</c:v>
                </c:pt>
                <c:pt idx="105">
                  <c:v>2.5499999999999998</c:v>
                </c:pt>
                <c:pt idx="106">
                  <c:v>2.5750000000000002</c:v>
                </c:pt>
                <c:pt idx="107">
                  <c:v>2.6</c:v>
                </c:pt>
                <c:pt idx="108">
                  <c:v>2.625</c:v>
                </c:pt>
                <c:pt idx="109">
                  <c:v>2.65</c:v>
                </c:pt>
                <c:pt idx="110">
                  <c:v>2.6749999999999998</c:v>
                </c:pt>
                <c:pt idx="111">
                  <c:v>2.7</c:v>
                </c:pt>
                <c:pt idx="112">
                  <c:v>2.7250000000000001</c:v>
                </c:pt>
                <c:pt idx="113">
                  <c:v>2.75</c:v>
                </c:pt>
                <c:pt idx="114">
                  <c:v>2.7749999999999999</c:v>
                </c:pt>
                <c:pt idx="115">
                  <c:v>2.8</c:v>
                </c:pt>
                <c:pt idx="116">
                  <c:v>2.8250000000000002</c:v>
                </c:pt>
                <c:pt idx="117">
                  <c:v>2.85</c:v>
                </c:pt>
                <c:pt idx="118">
                  <c:v>2.875</c:v>
                </c:pt>
                <c:pt idx="119">
                  <c:v>2.9</c:v>
                </c:pt>
                <c:pt idx="120">
                  <c:v>2.9249999999999998</c:v>
                </c:pt>
                <c:pt idx="121">
                  <c:v>2.95</c:v>
                </c:pt>
                <c:pt idx="122">
                  <c:v>2.9750000000000001</c:v>
                </c:pt>
                <c:pt idx="123">
                  <c:v>3</c:v>
                </c:pt>
                <c:pt idx="124">
                  <c:v>3.0249999999999999</c:v>
                </c:pt>
                <c:pt idx="125">
                  <c:v>3.05</c:v>
                </c:pt>
                <c:pt idx="126">
                  <c:v>3.0750000000000002</c:v>
                </c:pt>
                <c:pt idx="127">
                  <c:v>3.1</c:v>
                </c:pt>
                <c:pt idx="128">
                  <c:v>3.125</c:v>
                </c:pt>
                <c:pt idx="129">
                  <c:v>3.15</c:v>
                </c:pt>
                <c:pt idx="130">
                  <c:v>3.1749999999999998</c:v>
                </c:pt>
                <c:pt idx="131">
                  <c:v>3.2</c:v>
                </c:pt>
                <c:pt idx="132">
                  <c:v>3.2250000000000001</c:v>
                </c:pt>
                <c:pt idx="133">
                  <c:v>3.25</c:v>
                </c:pt>
                <c:pt idx="134">
                  <c:v>3.2749999999999999</c:v>
                </c:pt>
                <c:pt idx="135">
                  <c:v>3.3</c:v>
                </c:pt>
                <c:pt idx="136">
                  <c:v>3.3250000000000002</c:v>
                </c:pt>
                <c:pt idx="137">
                  <c:v>3.35</c:v>
                </c:pt>
                <c:pt idx="138">
                  <c:v>3.375</c:v>
                </c:pt>
                <c:pt idx="139">
                  <c:v>3.4</c:v>
                </c:pt>
                <c:pt idx="140">
                  <c:v>3.4249999999999998</c:v>
                </c:pt>
                <c:pt idx="141">
                  <c:v>3.45</c:v>
                </c:pt>
                <c:pt idx="142">
                  <c:v>3.4750000000000001</c:v>
                </c:pt>
                <c:pt idx="143">
                  <c:v>3.5</c:v>
                </c:pt>
                <c:pt idx="144">
                  <c:v>3.5249999999999999</c:v>
                </c:pt>
                <c:pt idx="145">
                  <c:v>3.55</c:v>
                </c:pt>
                <c:pt idx="146">
                  <c:v>3.5750000000000002</c:v>
                </c:pt>
                <c:pt idx="147">
                  <c:v>3.6</c:v>
                </c:pt>
                <c:pt idx="148">
                  <c:v>3.625</c:v>
                </c:pt>
                <c:pt idx="149">
                  <c:v>3.65</c:v>
                </c:pt>
                <c:pt idx="150">
                  <c:v>3.6749999999999998</c:v>
                </c:pt>
                <c:pt idx="151">
                  <c:v>3.7</c:v>
                </c:pt>
                <c:pt idx="152">
                  <c:v>3.7250000000000001</c:v>
                </c:pt>
                <c:pt idx="153">
                  <c:v>3.75</c:v>
                </c:pt>
                <c:pt idx="154">
                  <c:v>3.7749999999999999</c:v>
                </c:pt>
                <c:pt idx="155">
                  <c:v>3.8</c:v>
                </c:pt>
                <c:pt idx="156">
                  <c:v>3.8250000000000002</c:v>
                </c:pt>
                <c:pt idx="157">
                  <c:v>3.85</c:v>
                </c:pt>
                <c:pt idx="158">
                  <c:v>3.875</c:v>
                </c:pt>
                <c:pt idx="159">
                  <c:v>3.9</c:v>
                </c:pt>
                <c:pt idx="160">
                  <c:v>3.9249999999999998</c:v>
                </c:pt>
                <c:pt idx="161">
                  <c:v>3.95</c:v>
                </c:pt>
                <c:pt idx="162">
                  <c:v>3.9750000000000001</c:v>
                </c:pt>
                <c:pt idx="163">
                  <c:v>3.9999999000000002</c:v>
                </c:pt>
                <c:pt idx="164">
                  <c:v>4</c:v>
                </c:pt>
                <c:pt idx="165">
                  <c:v>4.0000001000000003</c:v>
                </c:pt>
                <c:pt idx="166">
                  <c:v>4.0250000000000004</c:v>
                </c:pt>
                <c:pt idx="167">
                  <c:v>4.05</c:v>
                </c:pt>
                <c:pt idx="168">
                  <c:v>4.0750000000000002</c:v>
                </c:pt>
                <c:pt idx="169">
                  <c:v>4.0999999999999996</c:v>
                </c:pt>
                <c:pt idx="170">
                  <c:v>4.125</c:v>
                </c:pt>
                <c:pt idx="171">
                  <c:v>4.1500000000000004</c:v>
                </c:pt>
                <c:pt idx="172">
                  <c:v>4.1749999999999998</c:v>
                </c:pt>
                <c:pt idx="173">
                  <c:v>4.2</c:v>
                </c:pt>
                <c:pt idx="174">
                  <c:v>4.2249999999999996</c:v>
                </c:pt>
                <c:pt idx="175">
                  <c:v>4.25</c:v>
                </c:pt>
                <c:pt idx="176">
                  <c:v>4.2750000000000004</c:v>
                </c:pt>
                <c:pt idx="177">
                  <c:v>4.3</c:v>
                </c:pt>
                <c:pt idx="178">
                  <c:v>4.3250000000000002</c:v>
                </c:pt>
                <c:pt idx="179">
                  <c:v>4.3499999999999996</c:v>
                </c:pt>
                <c:pt idx="180">
                  <c:v>4.375</c:v>
                </c:pt>
                <c:pt idx="181">
                  <c:v>4.4000000000000004</c:v>
                </c:pt>
                <c:pt idx="182">
                  <c:v>4.4249999999999998</c:v>
                </c:pt>
                <c:pt idx="183">
                  <c:v>4.45</c:v>
                </c:pt>
                <c:pt idx="184">
                  <c:v>4.4749999999999996</c:v>
                </c:pt>
                <c:pt idx="185">
                  <c:v>4.5</c:v>
                </c:pt>
                <c:pt idx="186">
                  <c:v>4.5250000000000004</c:v>
                </c:pt>
                <c:pt idx="187">
                  <c:v>4.55</c:v>
                </c:pt>
                <c:pt idx="188">
                  <c:v>4.5750000000000002</c:v>
                </c:pt>
                <c:pt idx="189">
                  <c:v>4.5999999999999996</c:v>
                </c:pt>
                <c:pt idx="190">
                  <c:v>4.625</c:v>
                </c:pt>
                <c:pt idx="191">
                  <c:v>4.6500000000000004</c:v>
                </c:pt>
                <c:pt idx="192">
                  <c:v>4.6749999999999998</c:v>
                </c:pt>
                <c:pt idx="193">
                  <c:v>4.7</c:v>
                </c:pt>
                <c:pt idx="194">
                  <c:v>4.7249999999999996</c:v>
                </c:pt>
                <c:pt idx="195">
                  <c:v>4.75</c:v>
                </c:pt>
                <c:pt idx="196">
                  <c:v>4.7750000000000004</c:v>
                </c:pt>
                <c:pt idx="197">
                  <c:v>4.8</c:v>
                </c:pt>
                <c:pt idx="198">
                  <c:v>4.8250000000000002</c:v>
                </c:pt>
                <c:pt idx="199">
                  <c:v>4.8499999999999996</c:v>
                </c:pt>
                <c:pt idx="200">
                  <c:v>4.875</c:v>
                </c:pt>
                <c:pt idx="201">
                  <c:v>4.9000000000000004</c:v>
                </c:pt>
                <c:pt idx="202">
                  <c:v>4.9249999999999998</c:v>
                </c:pt>
                <c:pt idx="203">
                  <c:v>4.95</c:v>
                </c:pt>
                <c:pt idx="204">
                  <c:v>4.9749999999999996</c:v>
                </c:pt>
                <c:pt idx="205">
                  <c:v>4.9999998999999997</c:v>
                </c:pt>
                <c:pt idx="206">
                  <c:v>5</c:v>
                </c:pt>
                <c:pt idx="207">
                  <c:v>5.0000001000000003</c:v>
                </c:pt>
                <c:pt idx="208">
                  <c:v>5.0250000000000004</c:v>
                </c:pt>
                <c:pt idx="209">
                  <c:v>5.05</c:v>
                </c:pt>
                <c:pt idx="210">
                  <c:v>5.0750000000000002</c:v>
                </c:pt>
                <c:pt idx="211">
                  <c:v>5.0999999999999996</c:v>
                </c:pt>
                <c:pt idx="212">
                  <c:v>5.125</c:v>
                </c:pt>
                <c:pt idx="213">
                  <c:v>5.15</c:v>
                </c:pt>
                <c:pt idx="214">
                  <c:v>5.1749999999999998</c:v>
                </c:pt>
                <c:pt idx="215">
                  <c:v>5.2</c:v>
                </c:pt>
                <c:pt idx="216">
                  <c:v>5.2249999999999996</c:v>
                </c:pt>
                <c:pt idx="217">
                  <c:v>5.25</c:v>
                </c:pt>
                <c:pt idx="218">
                  <c:v>5.2750000000000004</c:v>
                </c:pt>
                <c:pt idx="219">
                  <c:v>5.3</c:v>
                </c:pt>
                <c:pt idx="220">
                  <c:v>5.3250000000000002</c:v>
                </c:pt>
                <c:pt idx="221">
                  <c:v>5.35</c:v>
                </c:pt>
                <c:pt idx="222">
                  <c:v>5.375</c:v>
                </c:pt>
                <c:pt idx="223">
                  <c:v>5.4</c:v>
                </c:pt>
                <c:pt idx="224">
                  <c:v>5.4249999999999998</c:v>
                </c:pt>
                <c:pt idx="225">
                  <c:v>5.45</c:v>
                </c:pt>
                <c:pt idx="226">
                  <c:v>5.4749999999999996</c:v>
                </c:pt>
                <c:pt idx="227">
                  <c:v>5.5</c:v>
                </c:pt>
                <c:pt idx="228">
                  <c:v>5.5250000000000004</c:v>
                </c:pt>
                <c:pt idx="229">
                  <c:v>5.55</c:v>
                </c:pt>
                <c:pt idx="230">
                  <c:v>5.5750000000000002</c:v>
                </c:pt>
                <c:pt idx="231">
                  <c:v>5.6</c:v>
                </c:pt>
                <c:pt idx="232">
                  <c:v>5.625</c:v>
                </c:pt>
                <c:pt idx="233">
                  <c:v>5.65</c:v>
                </c:pt>
                <c:pt idx="234">
                  <c:v>5.6749999999999998</c:v>
                </c:pt>
                <c:pt idx="235">
                  <c:v>5.7</c:v>
                </c:pt>
                <c:pt idx="236">
                  <c:v>5.7249999999999996</c:v>
                </c:pt>
                <c:pt idx="237">
                  <c:v>5.75</c:v>
                </c:pt>
                <c:pt idx="238">
                  <c:v>5.7750000000000004</c:v>
                </c:pt>
                <c:pt idx="239">
                  <c:v>5.8</c:v>
                </c:pt>
                <c:pt idx="240">
                  <c:v>5.8250000000000002</c:v>
                </c:pt>
                <c:pt idx="241">
                  <c:v>5.85</c:v>
                </c:pt>
                <c:pt idx="242">
                  <c:v>5.875</c:v>
                </c:pt>
                <c:pt idx="243">
                  <c:v>5.9</c:v>
                </c:pt>
                <c:pt idx="244">
                  <c:v>5.9249999999999998</c:v>
                </c:pt>
                <c:pt idx="245">
                  <c:v>5.95</c:v>
                </c:pt>
                <c:pt idx="246">
                  <c:v>5.9749999999999996</c:v>
                </c:pt>
                <c:pt idx="247">
                  <c:v>5.9999998999999997</c:v>
                </c:pt>
                <c:pt idx="248">
                  <c:v>6</c:v>
                </c:pt>
                <c:pt idx="249">
                  <c:v>6.0000001000000003</c:v>
                </c:pt>
                <c:pt idx="250">
                  <c:v>6.0250000000000004</c:v>
                </c:pt>
                <c:pt idx="251">
                  <c:v>6.05</c:v>
                </c:pt>
                <c:pt idx="252">
                  <c:v>6.0750000000000002</c:v>
                </c:pt>
                <c:pt idx="253">
                  <c:v>6.1</c:v>
                </c:pt>
                <c:pt idx="254">
                  <c:v>6.125</c:v>
                </c:pt>
                <c:pt idx="255">
                  <c:v>6.15</c:v>
                </c:pt>
                <c:pt idx="256">
                  <c:v>6.1749999999999998</c:v>
                </c:pt>
                <c:pt idx="257">
                  <c:v>6.2</c:v>
                </c:pt>
                <c:pt idx="258">
                  <c:v>6.2249999999999996</c:v>
                </c:pt>
                <c:pt idx="259">
                  <c:v>6.25</c:v>
                </c:pt>
                <c:pt idx="260">
                  <c:v>6.2750000000000004</c:v>
                </c:pt>
                <c:pt idx="261">
                  <c:v>6.3</c:v>
                </c:pt>
                <c:pt idx="262">
                  <c:v>6.3250000000000002</c:v>
                </c:pt>
                <c:pt idx="263">
                  <c:v>6.34</c:v>
                </c:pt>
                <c:pt idx="264">
                  <c:v>6.34</c:v>
                </c:pt>
                <c:pt idx="265">
                  <c:v>0</c:v>
                </c:pt>
                <c:pt idx="266">
                  <c:v>0</c:v>
                </c:pt>
              </c:numCache>
            </c:numRef>
          </c:xVal>
          <c:yVal>
            <c:numRef>
              <c:f>[0]!DEFLECTION_list</c:f>
              <c:numCache>
                <c:formatCode>0.000</c:formatCode>
                <c:ptCount val="267"/>
                <c:pt idx="0">
                  <c:v>0</c:v>
                </c:pt>
                <c:pt idx="1">
                  <c:v>-3.4601162805466633E-7</c:v>
                </c:pt>
                <c:pt idx="2">
                  <c:v>-8.6498798297102414E-2</c:v>
                </c:pt>
                <c:pt idx="3">
                  <c:v>-0.17297294394596743</c:v>
                </c:pt>
                <c:pt idx="4">
                  <c:v>-0.2593977825540974</c:v>
                </c:pt>
                <c:pt idx="5">
                  <c:v>-0.34574865624047407</c:v>
                </c:pt>
                <c:pt idx="6">
                  <c:v>-0.43200090189129842</c:v>
                </c:pt>
                <c:pt idx="7">
                  <c:v>-0.5181298494157297</c:v>
                </c:pt>
                <c:pt idx="8">
                  <c:v>-0.60411082000162641</c:v>
                </c:pt>
                <c:pt idx="9">
                  <c:v>-0.689919124371285</c:v>
                </c:pt>
                <c:pt idx="10">
                  <c:v>-0.77553006103717981</c:v>
                </c:pt>
                <c:pt idx="11">
                  <c:v>-0.86091891455770275</c:v>
                </c:pt>
                <c:pt idx="12">
                  <c:v>-0.946060953792903</c:v>
                </c:pt>
                <c:pt idx="13">
                  <c:v>-1.0309314301602273</c:v>
                </c:pt>
                <c:pt idx="14">
                  <c:v>-1.1155055758902586</c:v>
                </c:pt>
                <c:pt idx="15">
                  <c:v>-1.1997586022824565</c:v>
                </c:pt>
                <c:pt idx="16">
                  <c:v>-1.2836656979608969</c:v>
                </c:pt>
                <c:pt idx="17">
                  <c:v>-1.3672020271300109</c:v>
                </c:pt>
                <c:pt idx="18">
                  <c:v>-1.450342727830326</c:v>
                </c:pt>
                <c:pt idx="19">
                  <c:v>-1.5330629101942057</c:v>
                </c:pt>
                <c:pt idx="20">
                  <c:v>-1.6153376547015854</c:v>
                </c:pt>
                <c:pt idx="21">
                  <c:v>-1.6971420104357187</c:v>
                </c:pt>
                <c:pt idx="22">
                  <c:v>-1.7784509933389119</c:v>
                </c:pt>
                <c:pt idx="23">
                  <c:v>-1.8592395844682654</c:v>
                </c:pt>
                <c:pt idx="24">
                  <c:v>-1.939482728251414</c:v>
                </c:pt>
                <c:pt idx="25">
                  <c:v>-2.0191553307422647</c:v>
                </c:pt>
                <c:pt idx="26">
                  <c:v>-2.0982322578767403</c:v>
                </c:pt>
                <c:pt idx="27">
                  <c:v>-2.1766883337285132</c:v>
                </c:pt>
                <c:pt idx="28">
                  <c:v>-2.2544983387647517</c:v>
                </c:pt>
                <c:pt idx="29">
                  <c:v>-2.3316370081018523</c:v>
                </c:pt>
                <c:pt idx="30">
                  <c:v>-2.408079029761188</c:v>
                </c:pt>
                <c:pt idx="31">
                  <c:v>-2.4837990429248418</c:v>
                </c:pt>
                <c:pt idx="32">
                  <c:v>-2.5587716361913464</c:v>
                </c:pt>
                <c:pt idx="33">
                  <c:v>-2.6329713458314283</c:v>
                </c:pt>
                <c:pt idx="34">
                  <c:v>-2.7063726540437436</c:v>
                </c:pt>
                <c:pt idx="35">
                  <c:v>-2.7789499872106194</c:v>
                </c:pt>
                <c:pt idx="36">
                  <c:v>-2.8506777141537913</c:v>
                </c:pt>
                <c:pt idx="37">
                  <c:v>-2.9215301443901467</c:v>
                </c:pt>
                <c:pt idx="38">
                  <c:v>-2.9914815263874628</c:v>
                </c:pt>
                <c:pt idx="39">
                  <c:v>-3.0605060458201461</c:v>
                </c:pt>
                <c:pt idx="40">
                  <c:v>-3.1285778238249708</c:v>
                </c:pt>
                <c:pt idx="41">
                  <c:v>-3.1956706488764826</c:v>
                </c:pt>
                <c:pt idx="42">
                  <c:v>-3.1956709152568212</c:v>
                </c:pt>
                <c:pt idx="43">
                  <c:v>-3.1956711816371453</c:v>
                </c:pt>
                <c:pt idx="44">
                  <c:v>-3.261760237216587</c:v>
                </c:pt>
                <c:pt idx="45">
                  <c:v>-3.3268243581233747</c:v>
                </c:pt>
                <c:pt idx="46">
                  <c:v>-3.3908427051537799</c:v>
                </c:pt>
                <c:pt idx="47">
                  <c:v>-3.4537946322254625</c:v>
                </c:pt>
                <c:pt idx="48">
                  <c:v>-3.5156594182528877</c:v>
                </c:pt>
                <c:pt idx="49">
                  <c:v>-3.5764162654030756</c:v>
                </c:pt>
                <c:pt idx="50">
                  <c:v>-3.6360442973513236</c:v>
                </c:pt>
                <c:pt idx="51">
                  <c:v>-3.6945225575369611</c:v>
                </c:pt>
                <c:pt idx="52">
                  <c:v>-3.751830007419084</c:v>
                </c:pt>
                <c:pt idx="53">
                  <c:v>-3.8079455247322911</c:v>
                </c:pt>
                <c:pt idx="54">
                  <c:v>-3.8628479017424273</c:v>
                </c:pt>
                <c:pt idx="55">
                  <c:v>-3.9165158435023253</c:v>
                </c:pt>
                <c:pt idx="56">
                  <c:v>-3.9689279661075383</c:v>
                </c:pt>
                <c:pt idx="57">
                  <c:v>-4.020062794952092</c:v>
                </c:pt>
                <c:pt idx="58">
                  <c:v>-4.0698987629842049</c:v>
                </c:pt>
                <c:pt idx="59">
                  <c:v>-4.1184142089620499</c:v>
                </c:pt>
                <c:pt idx="60">
                  <c:v>-4.1655873757094763</c:v>
                </c:pt>
                <c:pt idx="61">
                  <c:v>-4.2113964083717654</c:v>
                </c:pt>
                <c:pt idx="62">
                  <c:v>-4.2558193526713524</c:v>
                </c:pt>
                <c:pt idx="63">
                  <c:v>-4.2988341531635816</c:v>
                </c:pt>
                <c:pt idx="64">
                  <c:v>-4.3404186514924357</c:v>
                </c:pt>
                <c:pt idx="65">
                  <c:v>-4.3805505846462829</c:v>
                </c:pt>
                <c:pt idx="66">
                  <c:v>-4.4192075832136126</c:v>
                </c:pt>
                <c:pt idx="67">
                  <c:v>-4.4563671696387761</c:v>
                </c:pt>
                <c:pt idx="68">
                  <c:v>-4.4920067564777231</c:v>
                </c:pt>
                <c:pt idx="69">
                  <c:v>-4.5261036446537481</c:v>
                </c:pt>
                <c:pt idx="70">
                  <c:v>-4.5586350217132283</c:v>
                </c:pt>
                <c:pt idx="71">
                  <c:v>-4.5895779600813533</c:v>
                </c:pt>
                <c:pt idx="72">
                  <c:v>-4.61890941531788</c:v>
                </c:pt>
                <c:pt idx="73">
                  <c:v>-4.6466062243728645</c:v>
                </c:pt>
                <c:pt idx="74">
                  <c:v>-4.6726451038423971</c:v>
                </c:pt>
                <c:pt idx="75">
                  <c:v>-4.6970026482243572</c:v>
                </c:pt>
                <c:pt idx="76">
                  <c:v>-4.7196553281741345</c:v>
                </c:pt>
                <c:pt idx="77">
                  <c:v>-4.7405794887603774</c:v>
                </c:pt>
                <c:pt idx="78">
                  <c:v>-4.7597513477207425</c:v>
                </c:pt>
                <c:pt idx="79">
                  <c:v>-4.7771469937176114</c:v>
                </c:pt>
                <c:pt idx="80">
                  <c:v>-4.7927423845938559</c:v>
                </c:pt>
                <c:pt idx="81">
                  <c:v>-4.8065133456285558</c:v>
                </c:pt>
                <c:pt idx="82">
                  <c:v>-4.8184355677927524</c:v>
                </c:pt>
                <c:pt idx="83">
                  <c:v>-4.8284846060051834</c:v>
                </c:pt>
                <c:pt idx="84">
                  <c:v>-4.8366359414314459</c:v>
                </c:pt>
                <c:pt idx="85">
                  <c:v>-4.8428656856128143</c:v>
                </c:pt>
                <c:pt idx="86">
                  <c:v>-4.8471512903510927</c:v>
                </c:pt>
                <c:pt idx="87">
                  <c:v>-4.8494716202989254</c:v>
                </c:pt>
                <c:pt idx="88">
                  <c:v>-4.8498069616811108</c:v>
                </c:pt>
                <c:pt idx="89">
                  <c:v>-4.8481390310158696</c:v>
                </c:pt>
                <c:pt idx="90">
                  <c:v>-4.8444509838361824</c:v>
                </c:pt>
                <c:pt idx="91">
                  <c:v>-4.8387274234110684</c:v>
                </c:pt>
                <c:pt idx="92">
                  <c:v>-4.8309544094668864</c:v>
                </c:pt>
                <c:pt idx="93">
                  <c:v>-4.8211194669086588</c:v>
                </c:pt>
                <c:pt idx="94">
                  <c:v>-4.8092115945413418</c:v>
                </c:pt>
                <c:pt idx="95">
                  <c:v>-4.7952212737911548</c:v>
                </c:pt>
                <c:pt idx="96">
                  <c:v>-4.7791404774268598</c:v>
                </c:pt>
                <c:pt idx="97">
                  <c:v>-4.7609626782810786</c:v>
                </c:pt>
                <c:pt idx="98">
                  <c:v>-4.7406828579715885</c:v>
                </c:pt>
                <c:pt idx="99">
                  <c:v>-4.718297515622619</c:v>
                </c:pt>
                <c:pt idx="100">
                  <c:v>-4.6938046765861658</c:v>
                </c:pt>
                <c:pt idx="101">
                  <c:v>-4.6672039011632735</c:v>
                </c:pt>
                <c:pt idx="102">
                  <c:v>-4.6384962933253568</c:v>
                </c:pt>
                <c:pt idx="103">
                  <c:v>-4.607684509435491</c:v>
                </c:pt>
                <c:pt idx="104">
                  <c:v>-4.5747727669697156</c:v>
                </c:pt>
                <c:pt idx="105">
                  <c:v>-4.5397668532383308</c:v>
                </c:pt>
                <c:pt idx="106">
                  <c:v>-4.502674134107215</c:v>
                </c:pt>
                <c:pt idx="107">
                  <c:v>-4.4635035627191</c:v>
                </c:pt>
                <c:pt idx="108">
                  <c:v>-4.4222656882149032</c:v>
                </c:pt>
                <c:pt idx="109">
                  <c:v>-4.3789726644550022</c:v>
                </c:pt>
                <c:pt idx="110">
                  <c:v>-4.3336382587405566</c:v>
                </c:pt>
                <c:pt idx="111">
                  <c:v>-4.2862778605347911</c:v>
                </c:pt>
                <c:pt idx="112">
                  <c:v>-4.2369084901843141</c:v>
                </c:pt>
                <c:pt idx="113">
                  <c:v>-4.1855488076404095</c:v>
                </c:pt>
                <c:pt idx="114">
                  <c:v>-4.132219121180337</c:v>
                </c:pt>
                <c:pt idx="115">
                  <c:v>-4.0769413961286398</c:v>
                </c:pt>
                <c:pt idx="116">
                  <c:v>-4.0197392635784475</c:v>
                </c:pt>
                <c:pt idx="117">
                  <c:v>-3.960638029112757</c:v>
                </c:pt>
                <c:pt idx="118">
                  <c:v>-3.8996646815257723</c:v>
                </c:pt>
                <c:pt idx="119">
                  <c:v>-3.836847901544163</c:v>
                </c:pt>
                <c:pt idx="120">
                  <c:v>-3.772218070548405</c:v>
                </c:pt>
                <c:pt idx="121">
                  <c:v>-3.7058072792940506</c:v>
                </c:pt>
                <c:pt idx="122">
                  <c:v>-3.6376493366330442</c:v>
                </c:pt>
                <c:pt idx="123">
                  <c:v>-3.5677797782350278</c:v>
                </c:pt>
                <c:pt idx="124">
                  <c:v>-3.496235875308634</c:v>
                </c:pt>
                <c:pt idx="125">
                  <c:v>-3.4230566433227918</c:v>
                </c:pt>
                <c:pt idx="126">
                  <c:v>-3.3482828507280251</c:v>
                </c:pt>
                <c:pt idx="127">
                  <c:v>-3.2719570276777583</c:v>
                </c:pt>
                <c:pt idx="128">
                  <c:v>-3.194123474749611</c:v>
                </c:pt>
                <c:pt idx="129">
                  <c:v>-3.1148282716667097</c:v>
                </c:pt>
                <c:pt idx="130">
                  <c:v>-3.0341192860189845</c:v>
                </c:pt>
                <c:pt idx="131">
                  <c:v>-2.9520461819844566</c:v>
                </c:pt>
                <c:pt idx="132">
                  <c:v>-2.8686604290505682</c:v>
                </c:pt>
                <c:pt idx="133">
                  <c:v>-2.7840153107354628</c:v>
                </c:pt>
                <c:pt idx="134">
                  <c:v>-2.6981659333092916</c:v>
                </c:pt>
                <c:pt idx="135">
                  <c:v>-2.6111692345155091</c:v>
                </c:pt>
                <c:pt idx="136">
                  <c:v>-2.523083992292201</c:v>
                </c:pt>
                <c:pt idx="137">
                  <c:v>-2.4339708334933432</c:v>
                </c:pt>
                <c:pt idx="138">
                  <c:v>-2.3438922426101394</c:v>
                </c:pt>
                <c:pt idx="139">
                  <c:v>-2.2529125704923079</c:v>
                </c:pt>
                <c:pt idx="140">
                  <c:v>-2.1610980430693743</c:v>
                </c:pt>
                <c:pt idx="141">
                  <c:v>-2.0685167700719997</c:v>
                </c:pt>
                <c:pt idx="142">
                  <c:v>-1.9752387537532554</c:v>
                </c:pt>
                <c:pt idx="143">
                  <c:v>-1.881335897609933</c:v>
                </c:pt>
                <c:pt idx="144">
                  <c:v>-1.786882015103852</c:v>
                </c:pt>
                <c:pt idx="145">
                  <c:v>-1.6919528383831495</c:v>
                </c:pt>
                <c:pt idx="146">
                  <c:v>-1.596626027003603</c:v>
                </c:pt>
                <c:pt idx="147">
                  <c:v>-1.5009811766499046</c:v>
                </c:pt>
                <c:pt idx="148">
                  <c:v>-1.4050998278569806</c:v>
                </c:pt>
                <c:pt idx="149">
                  <c:v>-1.3090654747312844</c:v>
                </c:pt>
                <c:pt idx="150">
                  <c:v>-1.2129635736721003</c:v>
                </c:pt>
                <c:pt idx="151">
                  <c:v>-1.1168815520928606</c:v>
                </c:pt>
                <c:pt idx="152">
                  <c:v>-1.0209088171424201</c:v>
                </c:pt>
                <c:pt idx="153">
                  <c:v>-0.92513676442636594</c:v>
                </c:pt>
                <c:pt idx="154">
                  <c:v>-0.82965878672833471</c:v>
                </c:pt>
                <c:pt idx="155">
                  <c:v>-0.73457028273129388</c:v>
                </c:pt>
                <c:pt idx="156">
                  <c:v>-0.63996866573885791</c:v>
                </c:pt>
                <c:pt idx="157">
                  <c:v>-0.54595337239658026</c:v>
                </c:pt>
                <c:pt idx="158">
                  <c:v>-0.45262587141326244</c:v>
                </c:pt>
                <c:pt idx="159">
                  <c:v>-0.36008967228223965</c:v>
                </c:pt>
                <c:pt idx="160">
                  <c:v>-0.26845033400270935</c:v>
                </c:pt>
                <c:pt idx="161">
                  <c:v>-0.17781547380100982</c:v>
                </c:pt>
                <c:pt idx="162">
                  <c:v>-8.829477585192505E-2</c:v>
                </c:pt>
                <c:pt idx="163">
                  <c:v>-3.5057618092381931E-7</c:v>
                </c:pt>
                <c:pt idx="164">
                  <c:v>-4.8849813083506888E-15</c:v>
                </c:pt>
                <c:pt idx="165">
                  <c:v>3.5057615343291375E-7</c:v>
                </c:pt>
                <c:pt idx="166">
                  <c:v>8.6978896267561209E-2</c:v>
                </c:pt>
                <c:pt idx="167">
                  <c:v>0.17264610879312106</c:v>
                </c:pt>
                <c:pt idx="168">
                  <c:v>0.25702954574140779</c:v>
                </c:pt>
                <c:pt idx="169">
                  <c:v>0.34015711527714293</c:v>
                </c:pt>
                <c:pt idx="170">
                  <c:v>0.42205672556505008</c:v>
                </c:pt>
                <c:pt idx="171">
                  <c:v>0.50275628476985257</c:v>
                </c:pt>
                <c:pt idx="172">
                  <c:v>0.58228370105627369</c:v>
                </c:pt>
                <c:pt idx="173">
                  <c:v>0.66066688258903672</c:v>
                </c:pt>
                <c:pt idx="174">
                  <c:v>0.73793373753286517</c:v>
                </c:pt>
                <c:pt idx="175">
                  <c:v>0.81411217405248237</c:v>
                </c:pt>
                <c:pt idx="176">
                  <c:v>0.88923010031261163</c:v>
                </c:pt>
                <c:pt idx="177">
                  <c:v>0.96331542447797647</c:v>
                </c:pt>
                <c:pt idx="178">
                  <c:v>1.0363960547133</c:v>
                </c:pt>
                <c:pt idx="179">
                  <c:v>1.1084998991833064</c:v>
                </c:pt>
                <c:pt idx="180">
                  <c:v>1.1796548660527175</c:v>
                </c:pt>
                <c:pt idx="181">
                  <c:v>1.2498888634862584</c:v>
                </c:pt>
                <c:pt idx="182">
                  <c:v>1.3192297996486508</c:v>
                </c:pt>
                <c:pt idx="183">
                  <c:v>1.3877055827046192</c:v>
                </c:pt>
                <c:pt idx="184">
                  <c:v>1.4553441208188864</c:v>
                </c:pt>
                <c:pt idx="185">
                  <c:v>1.522173322156176</c:v>
                </c:pt>
                <c:pt idx="186">
                  <c:v>1.5882210948812117</c:v>
                </c:pt>
                <c:pt idx="187">
                  <c:v>1.6535153471587165</c:v>
                </c:pt>
                <c:pt idx="188">
                  <c:v>1.7180839871534141</c:v>
                </c:pt>
                <c:pt idx="189">
                  <c:v>1.7819549230300271</c:v>
                </c:pt>
                <c:pt idx="190">
                  <c:v>1.8451560629532788</c:v>
                </c:pt>
                <c:pt idx="191">
                  <c:v>1.9077153150878936</c:v>
                </c:pt>
                <c:pt idx="192">
                  <c:v>1.969660587598594</c:v>
                </c:pt>
                <c:pt idx="193">
                  <c:v>2.0310197886501062</c:v>
                </c:pt>
                <c:pt idx="194">
                  <c:v>2.0918208264071487</c:v>
                </c:pt>
                <c:pt idx="195">
                  <c:v>2.1520916090344473</c:v>
                </c:pt>
                <c:pt idx="196">
                  <c:v>2.2118600446967265</c:v>
                </c:pt>
                <c:pt idx="197">
                  <c:v>2.2711540415587077</c:v>
                </c:pt>
                <c:pt idx="198">
                  <c:v>2.3300015077851146</c:v>
                </c:pt>
                <c:pt idx="199">
                  <c:v>2.3884303515406713</c:v>
                </c:pt>
                <c:pt idx="200">
                  <c:v>2.4464684809901005</c:v>
                </c:pt>
                <c:pt idx="201">
                  <c:v>2.5041438042981272</c:v>
                </c:pt>
                <c:pt idx="202">
                  <c:v>2.5614842296294729</c:v>
                </c:pt>
                <c:pt idx="203">
                  <c:v>2.6185176651488611</c:v>
                </c:pt>
                <c:pt idx="204">
                  <c:v>2.6752720190210164</c:v>
                </c:pt>
                <c:pt idx="205">
                  <c:v>2.731774973863073</c:v>
                </c:pt>
                <c:pt idx="206">
                  <c:v>2.7317751994106612</c:v>
                </c:pt>
                <c:pt idx="207">
                  <c:v>2.7317754249582453</c:v>
                </c:pt>
                <c:pt idx="208">
                  <c:v>2.7880513933938884</c:v>
                </c:pt>
                <c:pt idx="209">
                  <c:v>2.8441099036922739</c:v>
                </c:pt>
                <c:pt idx="210">
                  <c:v>2.8999563119387624</c:v>
                </c:pt>
                <c:pt idx="211">
                  <c:v>2.9555961997662976</c:v>
                </c:pt>
                <c:pt idx="212">
                  <c:v>3.0110351488078253</c:v>
                </c:pt>
                <c:pt idx="213">
                  <c:v>3.0662787406962879</c:v>
                </c:pt>
                <c:pt idx="214">
                  <c:v>3.1213325570646329</c:v>
                </c:pt>
                <c:pt idx="215">
                  <c:v>3.1762021795458035</c:v>
                </c:pt>
                <c:pt idx="216">
                  <c:v>3.2308931897727446</c:v>
                </c:pt>
                <c:pt idx="217">
                  <c:v>3.2854111693783992</c:v>
                </c:pt>
                <c:pt idx="218">
                  <c:v>3.339761699995714</c:v>
                </c:pt>
                <c:pt idx="219">
                  <c:v>3.3939503632576349</c:v>
                </c:pt>
                <c:pt idx="220">
                  <c:v>3.4479827407971051</c:v>
                </c:pt>
                <c:pt idx="221">
                  <c:v>3.5018644142470672</c:v>
                </c:pt>
                <c:pt idx="222">
                  <c:v>3.5556009652404716</c:v>
                </c:pt>
                <c:pt idx="223">
                  <c:v>3.6091979754102561</c:v>
                </c:pt>
                <c:pt idx="224">
                  <c:v>3.662661026389368</c:v>
                </c:pt>
                <c:pt idx="225">
                  <c:v>3.7159956998107537</c:v>
                </c:pt>
                <c:pt idx="226">
                  <c:v>3.7692075773073555</c:v>
                </c:pt>
                <c:pt idx="227">
                  <c:v>3.8223022405121201</c:v>
                </c:pt>
                <c:pt idx="228">
                  <c:v>3.8752852710579906</c:v>
                </c:pt>
                <c:pt idx="229">
                  <c:v>3.9281622505779139</c:v>
                </c:pt>
                <c:pt idx="230">
                  <c:v>3.9809387607048321</c:v>
                </c:pt>
                <c:pt idx="231">
                  <c:v>4.0336203830716899</c:v>
                </c:pt>
                <c:pt idx="232">
                  <c:v>4.0862126993114334</c:v>
                </c:pt>
                <c:pt idx="233">
                  <c:v>4.1387212910570073</c:v>
                </c:pt>
                <c:pt idx="234">
                  <c:v>4.1911517399413549</c:v>
                </c:pt>
                <c:pt idx="235">
                  <c:v>4.2435096275974216</c:v>
                </c:pt>
                <c:pt idx="236">
                  <c:v>4.2958005356581532</c:v>
                </c:pt>
                <c:pt idx="237">
                  <c:v>4.3480300457564933</c:v>
                </c:pt>
                <c:pt idx="238">
                  <c:v>4.4002037395253879</c:v>
                </c:pt>
                <c:pt idx="239">
                  <c:v>4.4523271985977786</c:v>
                </c:pt>
                <c:pt idx="240">
                  <c:v>4.5044060046066114</c:v>
                </c:pt>
                <c:pt idx="241">
                  <c:v>4.5564457391848325</c:v>
                </c:pt>
                <c:pt idx="242">
                  <c:v>4.6084519839653861</c:v>
                </c:pt>
                <c:pt idx="243">
                  <c:v>4.6604303205812156</c:v>
                </c:pt>
                <c:pt idx="244">
                  <c:v>4.7123863306652662</c:v>
                </c:pt>
                <c:pt idx="245">
                  <c:v>4.7643255958504849</c:v>
                </c:pt>
                <c:pt idx="246">
                  <c:v>4.8162536977698114</c:v>
                </c:pt>
                <c:pt idx="247">
                  <c:v>4.8681760103698331</c:v>
                </c:pt>
                <c:pt idx="248">
                  <c:v>4.8681762180561945</c:v>
                </c:pt>
                <c:pt idx="249">
                  <c:v>4.868176425742555</c:v>
                </c:pt>
                <c:pt idx="250">
                  <c:v>4.9200978080704196</c:v>
                </c:pt>
                <c:pt idx="251">
                  <c:v>4.9720193980846457</c:v>
                </c:pt>
                <c:pt idx="252">
                  <c:v>5.0239409880988699</c:v>
                </c:pt>
                <c:pt idx="253">
                  <c:v>5.075862578113095</c:v>
                </c:pt>
                <c:pt idx="254">
                  <c:v>5.1277841681273202</c:v>
                </c:pt>
                <c:pt idx="255">
                  <c:v>5.1797057581415462</c:v>
                </c:pt>
                <c:pt idx="256">
                  <c:v>5.2316273481557722</c:v>
                </c:pt>
                <c:pt idx="257">
                  <c:v>5.2835489381699983</c:v>
                </c:pt>
                <c:pt idx="258">
                  <c:v>5.3354705281842234</c:v>
                </c:pt>
                <c:pt idx="259">
                  <c:v>5.3873921181984485</c:v>
                </c:pt>
                <c:pt idx="260">
                  <c:v>5.4393137082126728</c:v>
                </c:pt>
                <c:pt idx="261">
                  <c:v>5.4912352982268997</c:v>
                </c:pt>
                <c:pt idx="262">
                  <c:v>5.5431568882411284</c:v>
                </c:pt>
                <c:pt idx="263">
                  <c:v>5.5743098422496615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B-417A-B2D5-8D5C2107BB2F}"/>
            </c:ext>
          </c:extLst>
        </c:ser>
        <c:ser>
          <c:idx val="1"/>
          <c:order val="1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4E1C6DF-2EEC-476C-8B70-F198E1138E16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BCF-4903-8209-6B5CA185DC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8060E19-BC15-4F4C-9C31-ECEFD95723E2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BCF-4903-8209-6B5CA185DC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EA96869-412E-4032-875E-68F50562A2C9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BCF-4903-8209-6B5CA185DC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F124AF-BA2E-4ADC-930B-1C5B4CBBF9E9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BCF-4903-8209-6B5CA185DC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9E0D9D-327F-4257-8FC5-C4F31D544FD3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BCF-4903-8209-6B5CA185DC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7F0A1D3-1351-4B76-B5B6-690407AF5D46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BCF-4903-8209-6B5CA185DC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A75BAC1-ABB8-4754-9F78-50159A463C11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BCF-4903-8209-6B5CA185DC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F0CBBAE-CE21-4496-97F8-F26C2DF5E704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BCF-4903-8209-6B5CA185DC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96DAD90-DE44-4138-B8FC-EA9FAAF55648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428-465E-A0C8-6B7886DE180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C34577B-4AD5-40CD-9BA8-E1565BF628CC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428-465E-A0C8-6B7886DE180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E678530-FAA9-4F05-94D4-B3B2FC891CEA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DEC-4A19-9CE9-280D6BD5805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A896D78-F7E8-4BA4-B2E5-BED59F24E924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DEC-4A19-9CE9-280D6BD5805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414C839-AE22-48D5-8CC0-3D8E78DDFA5A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DEC-4A19-9CE9-280D6BD5805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DCA578F-0F6E-475E-9C36-E8A83366E5D0}" type="CELLRANGE">
                      <a:rPr lang="en-NZ"/>
                      <a:pPr/>
                      <a:t>[CELLRANGE]</a:t>
                    </a:fld>
                    <a:endParaRPr lang="en-NZ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DEC-4A19-9CE9-280D6BD580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xVal>
            <c:numRef>
              <c:f>[0]!LABELS_X</c:f>
              <c:numCache>
                <c:formatCode>0.000</c:formatCode>
                <c:ptCount val="14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 formatCode="0.00">
                  <c:v>5</c:v>
                </c:pt>
                <c:pt idx="11" formatCode="0.00">
                  <c:v>5.5</c:v>
                </c:pt>
                <c:pt idx="12" formatCode="0.00">
                  <c:v>6</c:v>
                </c:pt>
                <c:pt idx="13" formatCode="0.00">
                  <c:v>6.34</c:v>
                </c:pt>
              </c:numCache>
            </c:numRef>
          </c:xVal>
          <c:yVal>
            <c:numRef>
              <c:f>[0]!LABELS_Y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[0]!LABELS_X</c15:f>
                <c15:dlblRangeCache>
                  <c:ptCount val="14"/>
                  <c:pt idx="0">
                    <c:v>0.00</c:v>
                  </c:pt>
                  <c:pt idx="1">
                    <c:v>0.500</c:v>
                  </c:pt>
                  <c:pt idx="2">
                    <c:v>1.000</c:v>
                  </c:pt>
                  <c:pt idx="3">
                    <c:v>1.500</c:v>
                  </c:pt>
                  <c:pt idx="4">
                    <c:v>2.000</c:v>
                  </c:pt>
                  <c:pt idx="5">
                    <c:v>2.500</c:v>
                  </c:pt>
                  <c:pt idx="6">
                    <c:v>3.000</c:v>
                  </c:pt>
                  <c:pt idx="7">
                    <c:v>3.500</c:v>
                  </c:pt>
                  <c:pt idx="8">
                    <c:v>4.000</c:v>
                  </c:pt>
                  <c:pt idx="9">
                    <c:v>4.500</c:v>
                  </c:pt>
                  <c:pt idx="10">
                    <c:v>5.00</c:v>
                  </c:pt>
                  <c:pt idx="11">
                    <c:v>5.50</c:v>
                  </c:pt>
                  <c:pt idx="12">
                    <c:v>6.00</c:v>
                  </c:pt>
                  <c:pt idx="13">
                    <c:v>6.34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BBCF-4903-8209-6B5CA185DC71}"/>
            </c:ext>
          </c:extLst>
        </c:ser>
        <c:ser>
          <c:idx val="2"/>
          <c:order val="2"/>
          <c:tx>
            <c:v>MIN/MAX</c:v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</c:spPr>
          </c:marker>
          <c:dLbls>
            <c:dLbl>
              <c:idx val="1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28-465E-A0C8-6B7886DE180F}"/>
                </c:ext>
              </c:extLst>
            </c:dLbl>
            <c:dLbl>
              <c:idx val="2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DEC-4A19-9CE9-280D6BD5805B}"/>
                </c:ext>
              </c:extLst>
            </c:dLbl>
            <c:dLbl>
              <c:idx val="4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DEC-4A19-9CE9-280D6BD5805B}"/>
                </c:ext>
              </c:extLst>
            </c:dLbl>
            <c:dLbl>
              <c:idx val="6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EEC-4443-9E46-09C13F6430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 sz="600" b="1" i="1" baseline="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xVal>
            <c:numRef>
              <c:f>Sheet1!$L$50:$L$56</c:f>
              <c:numCache>
                <c:formatCode>0.000</c:formatCode>
                <c:ptCount val="7"/>
                <c:pt idx="0">
                  <c:v>6.34</c:v>
                </c:pt>
                <c:pt idx="1">
                  <c:v>2.125</c:v>
                </c:pt>
                <c:pt idx="2">
                  <c:v>#N/A</c:v>
                </c:pt>
                <c:pt idx="3">
                  <c:v>6.34</c:v>
                </c:pt>
                <c:pt idx="4">
                  <c:v>#N/A</c:v>
                </c:pt>
                <c:pt idx="5">
                  <c:v>#N/A</c:v>
                </c:pt>
                <c:pt idx="6">
                  <c:v>2.125</c:v>
                </c:pt>
              </c:numCache>
            </c:numRef>
          </c:xVal>
          <c:yVal>
            <c:numRef>
              <c:f>Sheet1!$M$50:$M$56</c:f>
              <c:numCache>
                <c:formatCode>0.00" mm"</c:formatCode>
                <c:ptCount val="7"/>
                <c:pt idx="0">
                  <c:v>5.5743098422496615</c:v>
                </c:pt>
                <c:pt idx="1">
                  <c:v>-4.8498069616811108</c:v>
                </c:pt>
                <c:pt idx="2">
                  <c:v>#N/A</c:v>
                </c:pt>
                <c:pt idx="3">
                  <c:v>5.5743098422496615</c:v>
                </c:pt>
                <c:pt idx="4">
                  <c:v>#N/A</c:v>
                </c:pt>
                <c:pt idx="5">
                  <c:v>#N/A</c:v>
                </c:pt>
                <c:pt idx="6">
                  <c:v>-4.8498069616811108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428-465E-A0C8-6B7886DE180F}"/>
            </c:ext>
          </c:extLst>
        </c:ser>
        <c:ser>
          <c:idx val="3"/>
          <c:order val="3"/>
          <c:tx>
            <c:v>SUPPORTS</c:v>
          </c:tx>
          <c:spPr>
            <a:ln>
              <a:noFill/>
            </a:ln>
          </c:spPr>
          <c:marker>
            <c:symbol val="circle"/>
            <c:size val="3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Sheet1!$L$38:$L$39</c:f>
              <c:numCache>
                <c:formatCode>General</c:formatCode>
                <c:ptCount val="2"/>
                <c:pt idx="0">
                  <c:v>0</c:v>
                </c:pt>
                <c:pt idx="1">
                  <c:v>4</c:v>
                </c:pt>
              </c:numCache>
            </c:numRef>
          </c:xVal>
          <c:yVal>
            <c:numRef>
              <c:f>Sheet1!$M$38:$M$39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44-43A5-825A-36DD26173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424240"/>
        <c:axId val="670423912"/>
      </c:scatterChart>
      <c:valAx>
        <c:axId val="670424240"/>
        <c:scaling>
          <c:orientation val="minMax"/>
          <c:min val="-0.5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0.0" sourceLinked="0"/>
        <c:majorTickMark val="cross"/>
        <c:minorTickMark val="cross"/>
        <c:tickLblPos val="none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423912"/>
        <c:crosses val="autoZero"/>
        <c:crossBetween val="midCat"/>
        <c:majorUnit val="0.5"/>
      </c:valAx>
      <c:valAx>
        <c:axId val="67042391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NZ"/>
                  <a:t>DEFLECTION</a:t>
                </a:r>
              </a:p>
            </c:rich>
          </c:tx>
          <c:layout>
            <c:manualLayout>
              <c:xMode val="edge"/>
              <c:yMode val="edge"/>
              <c:x val="5.0627774436920485E-3"/>
              <c:y val="0.3348520360962598"/>
            </c:manualLayout>
          </c:layout>
          <c:overlay val="0"/>
        </c:title>
        <c:numFmt formatCode="0.0" sourceLinked="0"/>
        <c:majorTickMark val="in"/>
        <c:minorTickMark val="in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424240"/>
        <c:crossesAt val="-0.5"/>
        <c:crossBetween val="midCat"/>
      </c:valAx>
      <c:spPr>
        <a:noFill/>
        <a:ln w="635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121072</xdr:colOff>
      <xdr:row>25</xdr:row>
      <xdr:rowOff>91586</xdr:rowOff>
    </xdr:from>
    <xdr:to>
      <xdr:col>8</xdr:col>
      <xdr:colOff>470831</xdr:colOff>
      <xdr:row>38</xdr:row>
      <xdr:rowOff>31275</xdr:rowOff>
    </xdr:to>
    <xdr:graphicFrame macro="">
      <xdr:nvGraphicFramePr>
        <xdr:cNvPr id="2" name="moment_chart">
          <a:extLst>
            <a:ext uri="{FF2B5EF4-FFF2-40B4-BE49-F238E27FC236}">
              <a16:creationId xmlns:a16="http://schemas.microsoft.com/office/drawing/2014/main" id="{4505BB02-4269-4F13-A5F8-6B4E7A27CC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121072</xdr:colOff>
      <xdr:row>37</xdr:row>
      <xdr:rowOff>171798</xdr:rowOff>
    </xdr:from>
    <xdr:to>
      <xdr:col>8</xdr:col>
      <xdr:colOff>470831</xdr:colOff>
      <xdr:row>50</xdr:row>
      <xdr:rowOff>110098</xdr:rowOff>
    </xdr:to>
    <xdr:graphicFrame macro="">
      <xdr:nvGraphicFramePr>
        <xdr:cNvPr id="3" name="shear_chart">
          <a:extLst>
            <a:ext uri="{FF2B5EF4-FFF2-40B4-BE49-F238E27FC236}">
              <a16:creationId xmlns:a16="http://schemas.microsoft.com/office/drawing/2014/main" id="{11B233D9-9246-4F80-BBEB-5945EB7316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121072</xdr:colOff>
      <xdr:row>50</xdr:row>
      <xdr:rowOff>78440</xdr:rowOff>
    </xdr:from>
    <xdr:to>
      <xdr:col>8</xdr:col>
      <xdr:colOff>470831</xdr:colOff>
      <xdr:row>63</xdr:row>
      <xdr:rowOff>18130</xdr:rowOff>
    </xdr:to>
    <xdr:graphicFrame macro="">
      <xdr:nvGraphicFramePr>
        <xdr:cNvPr id="4" name="defl_chart">
          <a:extLst>
            <a:ext uri="{FF2B5EF4-FFF2-40B4-BE49-F238E27FC236}">
              <a16:creationId xmlns:a16="http://schemas.microsoft.com/office/drawing/2014/main" id="{74AF9E27-3E1E-45D6-9948-BE0F0AB3DB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D3ACE-EEAF-42A5-9393-5A5A6773AB27}">
  <sheetPr codeName="Sheet1"/>
  <dimension ref="A1:U269"/>
  <sheetViews>
    <sheetView tabSelected="1" view="pageBreakPreview" zoomScale="149" zoomScaleNormal="260" zoomScaleSheetLayoutView="260" workbookViewId="0">
      <selection activeCell="O4" sqref="O4"/>
    </sheetView>
  </sheetViews>
  <sheetFormatPr defaultRowHeight="13.5" customHeight="1" x14ac:dyDescent="0.2"/>
  <cols>
    <col min="1" max="14" width="11.6640625" style="1" customWidth="1"/>
    <col min="15" max="19" width="11.6640625" style="11" customWidth="1"/>
    <col min="20" max="22" width="11.6640625" style="1" customWidth="1"/>
    <col min="23" max="16384" width="9.33203125" style="1"/>
  </cols>
  <sheetData>
    <row r="1" spans="1:20" ht="13.5" customHeight="1" x14ac:dyDescent="0.2">
      <c r="A1" s="14" t="s">
        <v>25</v>
      </c>
      <c r="S1" s="1" t="s">
        <v>13</v>
      </c>
    </row>
    <row r="2" spans="1:20" ht="13.5" customHeight="1" x14ac:dyDescent="0.2">
      <c r="A2" s="3" t="s">
        <v>14</v>
      </c>
      <c r="B2" s="3" t="s">
        <v>15</v>
      </c>
      <c r="C2" s="10" t="s">
        <v>18</v>
      </c>
      <c r="D2" s="2" t="s">
        <v>7</v>
      </c>
      <c r="E2" s="2" t="s">
        <v>8</v>
      </c>
      <c r="O2" s="6" t="s">
        <v>9</v>
      </c>
      <c r="P2" s="6" t="s">
        <v>10</v>
      </c>
      <c r="Q2" s="6" t="s">
        <v>11</v>
      </c>
      <c r="R2" s="12" t="s">
        <v>12</v>
      </c>
      <c r="S2" s="1" t="s">
        <v>9</v>
      </c>
      <c r="T2" s="1" t="s">
        <v>20</v>
      </c>
    </row>
    <row r="3" spans="1:20" ht="13.5" customHeight="1" x14ac:dyDescent="0.2">
      <c r="A3" s="15">
        <v>4</v>
      </c>
      <c r="B3" s="15">
        <v>2.34</v>
      </c>
      <c r="C3" s="16">
        <v>2.5000000000000001E-2</v>
      </c>
      <c r="D3" s="17">
        <v>8000</v>
      </c>
      <c r="E3" s="18">
        <f>360^3*90/12</f>
        <v>349920000</v>
      </c>
      <c r="O3" s="11" cm="1">
        <f t="array" ref="O3:R269">BEAM_analysis(analysis_step,L_main,L_cant,E_beam,I_beam,main_span_UDL_data,main_span_pt_load_data,cant_span_UDL_data,cant_span_pt_load_data,TRUE,FALSE)</f>
        <v>0</v>
      </c>
      <c r="P3" s="11">
        <v>0</v>
      </c>
      <c r="Q3" s="11">
        <v>4.4166666666666661</v>
      </c>
      <c r="R3" s="11">
        <v>0</v>
      </c>
      <c r="S3" s="5" cm="1">
        <f t="array" ref="S3:S16">_xlfn.LET(_xlpm.L_beam,A3+B3,_xlpm.X,1+CEILING((_xlpm.L_beam)/0.5,1),_xlpm.SEQ,_xlfn.SEQUENCE(_xlpm.X,1,0,0.5),IF(_xlpm.SEQ&gt;_xlpm.L_beam,_xlpm.L_beam,_xlpm.SEQ))</f>
        <v>0</v>
      </c>
      <c r="T3" s="1" cm="1">
        <f t="array" ref="T3:T16">_xlfn.LET(_xlpm.L_beam,A3+B3,_xlpm.X,1+CEILING((_xlpm.L_beam)/0.5,1),_xlfn.SEQUENCE(_xlpm.X,1,0,0))</f>
        <v>0</v>
      </c>
    </row>
    <row r="4" spans="1:20" ht="13.5" customHeight="1" x14ac:dyDescent="0.2">
      <c r="O4" s="11">
        <v>9.9999999999999995E-8</v>
      </c>
      <c r="P4" s="11">
        <v>4.4166666666666669E-7</v>
      </c>
      <c r="Q4" s="11">
        <v>4.4166666666666687</v>
      </c>
      <c r="R4" s="11">
        <v>-3.4601162805466633E-7</v>
      </c>
      <c r="S4" s="11">
        <v>0.5</v>
      </c>
      <c r="T4" s="1">
        <v>0</v>
      </c>
    </row>
    <row r="5" spans="1:20" ht="13.5" customHeight="1" x14ac:dyDescent="0.2">
      <c r="A5" s="14" t="s">
        <v>5</v>
      </c>
      <c r="O5" s="11">
        <v>2.5000000000000001E-2</v>
      </c>
      <c r="P5" s="11">
        <v>0.11041796875000003</v>
      </c>
      <c r="Q5" s="11">
        <v>4.4168229166666659</v>
      </c>
      <c r="R5" s="11">
        <v>-8.6498798297102414E-2</v>
      </c>
      <c r="S5" s="11">
        <v>1</v>
      </c>
      <c r="T5" s="1">
        <v>0</v>
      </c>
    </row>
    <row r="6" spans="1:20" ht="13.5" customHeight="1" x14ac:dyDescent="0.2">
      <c r="A6" s="2" t="s">
        <v>0</v>
      </c>
      <c r="B6" s="2" t="s">
        <v>1</v>
      </c>
      <c r="C6" s="2" t="s">
        <v>2</v>
      </c>
      <c r="D6" s="2" t="s">
        <v>3</v>
      </c>
      <c r="O6" s="11">
        <v>0.05</v>
      </c>
      <c r="P6" s="11">
        <v>0.22084375000000009</v>
      </c>
      <c r="Q6" s="11">
        <v>4.4172916666666664</v>
      </c>
      <c r="R6" s="11">
        <v>-0.17297294394596743</v>
      </c>
      <c r="S6" s="11">
        <v>1.5</v>
      </c>
      <c r="T6" s="1">
        <v>0</v>
      </c>
    </row>
    <row r="7" spans="1:20" ht="13.5" customHeight="1" x14ac:dyDescent="0.2">
      <c r="A7" s="19">
        <v>0</v>
      </c>
      <c r="B7" s="19">
        <v>1</v>
      </c>
      <c r="C7" s="20">
        <v>0</v>
      </c>
      <c r="D7" s="20">
        <v>2</v>
      </c>
      <c r="O7" s="11">
        <v>7.4999999999999997E-2</v>
      </c>
      <c r="P7" s="11">
        <v>0.33128515624999993</v>
      </c>
      <c r="Q7" s="11">
        <v>4.4180729166666666</v>
      </c>
      <c r="R7" s="11">
        <v>-0.2593977825540974</v>
      </c>
      <c r="S7" s="11">
        <v>2</v>
      </c>
      <c r="T7" s="1">
        <v>0</v>
      </c>
    </row>
    <row r="8" spans="1:20" ht="13.5" customHeight="1" x14ac:dyDescent="0.2">
      <c r="A8" s="19">
        <v>-10</v>
      </c>
      <c r="B8" s="19">
        <v>-15</v>
      </c>
      <c r="C8" s="20">
        <v>2</v>
      </c>
      <c r="D8" s="20">
        <v>4</v>
      </c>
      <c r="O8" s="11">
        <v>0.1</v>
      </c>
      <c r="P8" s="11">
        <v>0.44175000000000003</v>
      </c>
      <c r="Q8" s="11">
        <v>4.4191666666666665</v>
      </c>
      <c r="R8" s="11">
        <v>-0.34574865624047407</v>
      </c>
      <c r="S8" s="11">
        <v>2.5</v>
      </c>
      <c r="T8" s="1">
        <v>0</v>
      </c>
    </row>
    <row r="9" spans="1:20" ht="13.5" customHeight="1" x14ac:dyDescent="0.2">
      <c r="A9" s="19"/>
      <c r="B9" s="19"/>
      <c r="C9" s="20"/>
      <c r="D9" s="20"/>
      <c r="O9" s="11">
        <v>0.125</v>
      </c>
      <c r="P9" s="11">
        <v>0.55224609375</v>
      </c>
      <c r="Q9" s="11">
        <v>4.4205729166666661</v>
      </c>
      <c r="R9" s="11">
        <v>-0.43200090189129842</v>
      </c>
      <c r="S9" s="11">
        <v>3</v>
      </c>
      <c r="T9" s="1">
        <v>0</v>
      </c>
    </row>
    <row r="10" spans="1:20" ht="13.5" customHeight="1" x14ac:dyDescent="0.2">
      <c r="O10" s="11">
        <v>0.15</v>
      </c>
      <c r="P10" s="11">
        <v>0.66278124999999999</v>
      </c>
      <c r="Q10" s="11">
        <v>4.4222916666666663</v>
      </c>
      <c r="R10" s="11">
        <v>-0.5181298494157297</v>
      </c>
      <c r="S10" s="11">
        <v>3.5</v>
      </c>
      <c r="T10" s="1">
        <v>0</v>
      </c>
    </row>
    <row r="11" spans="1:20" ht="13.5" customHeight="1" x14ac:dyDescent="0.2">
      <c r="A11" s="3" t="s">
        <v>4</v>
      </c>
      <c r="B11" s="3" t="s">
        <v>2</v>
      </c>
      <c r="O11" s="11">
        <v>0.17499999999999999</v>
      </c>
      <c r="P11" s="11">
        <v>0.77336328124999987</v>
      </c>
      <c r="Q11" s="11">
        <v>4.4243229166666662</v>
      </c>
      <c r="R11" s="11">
        <v>-0.60411082000162641</v>
      </c>
      <c r="S11" s="11">
        <v>4</v>
      </c>
      <c r="T11" s="1">
        <v>0</v>
      </c>
    </row>
    <row r="12" spans="1:20" ht="13.5" customHeight="1" x14ac:dyDescent="0.2">
      <c r="A12" s="21">
        <v>-1</v>
      </c>
      <c r="B12" s="15">
        <v>1</v>
      </c>
      <c r="O12" s="11">
        <v>0.2</v>
      </c>
      <c r="P12" s="11">
        <v>0.88400000000000023</v>
      </c>
      <c r="Q12" s="11">
        <v>4.4266666666666667</v>
      </c>
      <c r="R12" s="11">
        <v>-0.689919124371285</v>
      </c>
      <c r="S12" s="11">
        <v>4.5</v>
      </c>
      <c r="T12" s="1">
        <v>0</v>
      </c>
    </row>
    <row r="13" spans="1:20" ht="13.5" customHeight="1" x14ac:dyDescent="0.2">
      <c r="A13" s="21"/>
      <c r="B13" s="15"/>
      <c r="O13" s="11">
        <v>0.22500000000000001</v>
      </c>
      <c r="P13" s="11">
        <v>0.99469921874999989</v>
      </c>
      <c r="Q13" s="11">
        <v>4.4293229166666661</v>
      </c>
      <c r="R13" s="11">
        <v>-0.77553006103717981</v>
      </c>
      <c r="S13" s="5">
        <v>5</v>
      </c>
      <c r="T13" s="1">
        <v>0</v>
      </c>
    </row>
    <row r="14" spans="1:20" ht="13.5" customHeight="1" x14ac:dyDescent="0.2">
      <c r="A14" s="22"/>
      <c r="B14" s="20"/>
      <c r="O14" s="11">
        <v>0.25</v>
      </c>
      <c r="P14" s="11">
        <v>1.10546875</v>
      </c>
      <c r="Q14" s="11">
        <v>4.4322916666666661</v>
      </c>
      <c r="R14" s="11">
        <v>-0.86091891455770275</v>
      </c>
      <c r="S14" s="5">
        <v>5.5</v>
      </c>
      <c r="T14" s="1">
        <v>0</v>
      </c>
    </row>
    <row r="15" spans="1:20" ht="13.5" customHeight="1" x14ac:dyDescent="0.2">
      <c r="O15" s="11">
        <v>0.27500000000000002</v>
      </c>
      <c r="P15" s="11">
        <v>1.21631640625</v>
      </c>
      <c r="Q15" s="11">
        <v>4.4355729166666666</v>
      </c>
      <c r="R15" s="11">
        <v>-0.946060953792903</v>
      </c>
      <c r="S15" s="5">
        <v>6</v>
      </c>
      <c r="T15" s="1">
        <v>0</v>
      </c>
    </row>
    <row r="16" spans="1:20" ht="13.5" customHeight="1" x14ac:dyDescent="0.2">
      <c r="A16" s="14" t="s">
        <v>6</v>
      </c>
      <c r="O16" s="11">
        <v>0.3</v>
      </c>
      <c r="P16" s="11">
        <v>1.32725</v>
      </c>
      <c r="Q16" s="11">
        <v>4.439166666666666</v>
      </c>
      <c r="R16" s="11">
        <v>-1.0309314301602273</v>
      </c>
      <c r="S16" s="5">
        <v>6.34</v>
      </c>
      <c r="T16" s="1">
        <v>0</v>
      </c>
    </row>
    <row r="17" spans="1:20" ht="13.5" customHeight="1" x14ac:dyDescent="0.2">
      <c r="A17" s="2" t="s">
        <v>0</v>
      </c>
      <c r="B17" s="2" t="s">
        <v>1</v>
      </c>
      <c r="C17" s="2" t="s">
        <v>2</v>
      </c>
      <c r="D17" s="2" t="s">
        <v>3</v>
      </c>
      <c r="O17" s="11">
        <v>0.32500000000000001</v>
      </c>
      <c r="P17" s="11">
        <v>1.43827734375</v>
      </c>
      <c r="Q17" s="11">
        <v>4.443072916666666</v>
      </c>
      <c r="R17" s="11">
        <v>-1.1155055758902586</v>
      </c>
      <c r="S17" s="5"/>
    </row>
    <row r="18" spans="1:20" ht="13.5" customHeight="1" x14ac:dyDescent="0.2">
      <c r="A18" s="19"/>
      <c r="B18" s="19"/>
      <c r="C18" s="20"/>
      <c r="D18" s="20"/>
      <c r="O18" s="11">
        <v>0.35</v>
      </c>
      <c r="P18" s="11">
        <v>1.5494062499999999</v>
      </c>
      <c r="Q18" s="11">
        <v>4.4472916666666666</v>
      </c>
      <c r="R18" s="11">
        <v>-1.1997586022824565</v>
      </c>
      <c r="S18" s="5"/>
    </row>
    <row r="19" spans="1:20" ht="13.5" customHeight="1" x14ac:dyDescent="0.2">
      <c r="A19" s="19"/>
      <c r="B19" s="19"/>
      <c r="C19" s="20"/>
      <c r="D19" s="20"/>
      <c r="O19" s="11">
        <v>0.375</v>
      </c>
      <c r="P19" s="11">
        <v>1.66064453125</v>
      </c>
      <c r="Q19" s="11">
        <v>4.4518229166666661</v>
      </c>
      <c r="R19" s="11">
        <v>-1.2836656979608969</v>
      </c>
      <c r="S19" s="5"/>
    </row>
    <row r="20" spans="1:20" ht="13.5" customHeight="1" x14ac:dyDescent="0.2">
      <c r="A20" s="19"/>
      <c r="B20" s="19"/>
      <c r="C20" s="20"/>
      <c r="D20" s="20"/>
      <c r="O20" s="11">
        <v>0.4</v>
      </c>
      <c r="P20" s="11">
        <v>1.772</v>
      </c>
      <c r="Q20" s="11">
        <v>4.4566666666666661</v>
      </c>
      <c r="R20" s="11">
        <v>-1.3672020271300109</v>
      </c>
      <c r="T20" s="5"/>
    </row>
    <row r="21" spans="1:20" ht="13.5" customHeight="1" x14ac:dyDescent="0.2">
      <c r="O21" s="11">
        <v>0.42499999999999999</v>
      </c>
      <c r="P21" s="11">
        <v>1.8834804687500002</v>
      </c>
      <c r="Q21" s="11">
        <v>4.4618229166666667</v>
      </c>
      <c r="R21" s="11">
        <v>-1.450342727830326</v>
      </c>
      <c r="T21" s="5"/>
    </row>
    <row r="22" spans="1:20" ht="13.5" customHeight="1" x14ac:dyDescent="0.2">
      <c r="A22" s="2" t="s">
        <v>4</v>
      </c>
      <c r="B22" s="2" t="s">
        <v>2</v>
      </c>
      <c r="O22" s="11">
        <v>0.45</v>
      </c>
      <c r="P22" s="11">
        <v>1.9950937499999997</v>
      </c>
      <c r="Q22" s="11">
        <v>4.4672916666666662</v>
      </c>
      <c r="R22" s="11">
        <v>-1.5330629101942057</v>
      </c>
    </row>
    <row r="23" spans="1:20" ht="13.5" customHeight="1" x14ac:dyDescent="0.2">
      <c r="A23" s="21">
        <v>-4</v>
      </c>
      <c r="B23" s="15">
        <v>1</v>
      </c>
      <c r="O23" s="11">
        <v>0.47499999999999998</v>
      </c>
      <c r="P23" s="11">
        <v>2.1068476562499998</v>
      </c>
      <c r="Q23" s="11">
        <v>4.4730729166666663</v>
      </c>
      <c r="R23" s="11">
        <v>-1.6153376547015854</v>
      </c>
    </row>
    <row r="24" spans="1:20" ht="13.5" customHeight="1" x14ac:dyDescent="0.2">
      <c r="A24" s="21">
        <v>-1</v>
      </c>
      <c r="B24" s="15">
        <v>2</v>
      </c>
      <c r="O24" s="11">
        <v>0.5</v>
      </c>
      <c r="P24" s="11">
        <v>2.21875</v>
      </c>
      <c r="Q24" s="11">
        <v>4.4791666666666661</v>
      </c>
      <c r="R24" s="11">
        <v>-1.6971420104357187</v>
      </c>
    </row>
    <row r="25" spans="1:20" ht="13.5" customHeight="1" x14ac:dyDescent="0.2">
      <c r="A25" s="22"/>
      <c r="B25" s="20"/>
      <c r="O25" s="11">
        <v>0.52500000000000002</v>
      </c>
      <c r="P25" s="11">
        <v>2.33080859375</v>
      </c>
      <c r="Q25" s="11">
        <v>4.4855729166666665</v>
      </c>
      <c r="R25" s="11">
        <v>-1.7784509933389119</v>
      </c>
    </row>
    <row r="26" spans="1:20" ht="13.5" customHeight="1" x14ac:dyDescent="0.2">
      <c r="O26" s="11">
        <v>0.55000000000000004</v>
      </c>
      <c r="P26" s="11">
        <v>2.4430312500000002</v>
      </c>
      <c r="Q26" s="11">
        <v>4.4922916666666666</v>
      </c>
      <c r="R26" s="11">
        <v>-1.8592395844682654</v>
      </c>
    </row>
    <row r="27" spans="1:20" ht="13.5" customHeight="1" x14ac:dyDescent="0.2">
      <c r="O27" s="11">
        <v>0.57499999999999996</v>
      </c>
      <c r="P27" s="11">
        <v>2.555425781249999</v>
      </c>
      <c r="Q27" s="11">
        <v>4.4993229166666664</v>
      </c>
      <c r="R27" s="11">
        <v>-1.939482728251414</v>
      </c>
    </row>
    <row r="28" spans="1:20" ht="13.5" customHeight="1" x14ac:dyDescent="0.2">
      <c r="O28" s="11">
        <v>0.6</v>
      </c>
      <c r="P28" s="11">
        <v>2.6679999999999997</v>
      </c>
      <c r="Q28" s="11">
        <v>4.5066666666666659</v>
      </c>
      <c r="R28" s="11">
        <v>-2.0191553307422647</v>
      </c>
    </row>
    <row r="29" spans="1:20" ht="13.5" customHeight="1" x14ac:dyDescent="0.2">
      <c r="O29" s="11">
        <v>0.625</v>
      </c>
      <c r="P29" s="11">
        <v>2.7807617187499996</v>
      </c>
      <c r="Q29" s="11">
        <v>4.5143229166666661</v>
      </c>
      <c r="R29" s="11">
        <v>-2.0982322578767403</v>
      </c>
    </row>
    <row r="30" spans="1:20" ht="13.5" customHeight="1" x14ac:dyDescent="0.2">
      <c r="O30" s="11">
        <v>0.65</v>
      </c>
      <c r="P30" s="11">
        <v>2.8937187500000001</v>
      </c>
      <c r="Q30" s="11">
        <v>4.5222916666666659</v>
      </c>
      <c r="R30" s="11">
        <v>-2.1766883337285132</v>
      </c>
    </row>
    <row r="31" spans="1:20" ht="13.5" customHeight="1" x14ac:dyDescent="0.2">
      <c r="O31" s="11">
        <v>0.67500000000000004</v>
      </c>
      <c r="P31" s="11">
        <v>3.0068789062500003</v>
      </c>
      <c r="Q31" s="11">
        <v>4.5305729166666664</v>
      </c>
      <c r="R31" s="11">
        <v>-2.2544983387647517</v>
      </c>
    </row>
    <row r="32" spans="1:20" ht="13.5" customHeight="1" x14ac:dyDescent="0.2">
      <c r="O32" s="11">
        <v>0.7</v>
      </c>
      <c r="P32" s="11">
        <v>3.1202499999999991</v>
      </c>
      <c r="Q32" s="11">
        <v>4.5391666666666666</v>
      </c>
      <c r="R32" s="11">
        <v>-2.3316370081018523</v>
      </c>
    </row>
    <row r="33" spans="9:21" ht="13.5" customHeight="1" x14ac:dyDescent="0.2">
      <c r="O33" s="11">
        <v>0.72499999999999998</v>
      </c>
      <c r="P33" s="11">
        <v>3.2338398437499998</v>
      </c>
      <c r="Q33" s="11">
        <v>4.5480729166666665</v>
      </c>
      <c r="R33" s="11">
        <v>-2.408079029761188</v>
      </c>
    </row>
    <row r="34" spans="9:21" ht="13.5" customHeight="1" x14ac:dyDescent="0.2">
      <c r="O34" s="11">
        <v>0.75</v>
      </c>
      <c r="P34" s="11">
        <v>3.34765625</v>
      </c>
      <c r="Q34" s="11">
        <v>4.5572916666666661</v>
      </c>
      <c r="R34" s="11">
        <v>-2.4837990429248418</v>
      </c>
    </row>
    <row r="35" spans="9:21" ht="13.5" customHeight="1" x14ac:dyDescent="0.2">
      <c r="O35" s="11">
        <v>0.77500000000000002</v>
      </c>
      <c r="P35" s="11">
        <v>3.4617070312499991</v>
      </c>
      <c r="Q35" s="11">
        <v>4.5668229166666663</v>
      </c>
      <c r="R35" s="11">
        <v>-2.5587716361913464</v>
      </c>
    </row>
    <row r="36" spans="9:21" ht="13.5" customHeight="1" x14ac:dyDescent="0.2">
      <c r="O36" s="11">
        <v>0.8</v>
      </c>
      <c r="P36" s="11">
        <v>3.5760000000000001</v>
      </c>
      <c r="Q36" s="11">
        <v>4.5766666666666662</v>
      </c>
      <c r="R36" s="11">
        <v>-2.6329713458314283</v>
      </c>
    </row>
    <row r="37" spans="9:21" ht="13.5" customHeight="1" x14ac:dyDescent="0.2">
      <c r="L37" s="2" t="s">
        <v>9</v>
      </c>
      <c r="M37" s="2" t="s">
        <v>20</v>
      </c>
      <c r="O37" s="11">
        <v>0.82499999999999996</v>
      </c>
      <c r="P37" s="11">
        <v>3.6905429687499987</v>
      </c>
      <c r="Q37" s="11">
        <v>4.5868229166666667</v>
      </c>
      <c r="R37" s="11">
        <v>-2.7063726540437436</v>
      </c>
    </row>
    <row r="38" spans="9:21" ht="13.5" customHeight="1" x14ac:dyDescent="0.2">
      <c r="K38" s="3" t="s">
        <v>27</v>
      </c>
      <c r="L38" s="2">
        <f>0</f>
        <v>0</v>
      </c>
      <c r="M38" s="2">
        <v>0</v>
      </c>
      <c r="O38" s="11">
        <v>0.85</v>
      </c>
      <c r="P38" s="11">
        <v>3.8053437500000005</v>
      </c>
      <c r="Q38" s="11">
        <v>4.5972916666666661</v>
      </c>
      <c r="R38" s="11">
        <v>-2.7789499872106194</v>
      </c>
    </row>
    <row r="39" spans="9:21" ht="13.5" customHeight="1" x14ac:dyDescent="0.2">
      <c r="K39" s="3" t="s">
        <v>26</v>
      </c>
      <c r="L39" s="2">
        <f>L_main</f>
        <v>4</v>
      </c>
      <c r="M39" s="2">
        <v>0</v>
      </c>
      <c r="O39" s="11">
        <v>0.875</v>
      </c>
      <c r="P39" s="11">
        <v>3.9204101562499991</v>
      </c>
      <c r="Q39" s="11">
        <v>4.6080729166666661</v>
      </c>
      <c r="R39" s="11">
        <v>-2.8506777141537913</v>
      </c>
      <c r="U39" s="5"/>
    </row>
    <row r="40" spans="9:21" ht="13.5" customHeight="1" x14ac:dyDescent="0.2">
      <c r="O40" s="11">
        <v>0.9</v>
      </c>
      <c r="P40" s="11">
        <v>4.0357499999999993</v>
      </c>
      <c r="Q40" s="11">
        <v>4.6191666666666666</v>
      </c>
      <c r="R40" s="11">
        <v>-2.9215301443901467</v>
      </c>
      <c r="U40" s="5"/>
    </row>
    <row r="41" spans="9:21" ht="13.5" customHeight="1" x14ac:dyDescent="0.2">
      <c r="L41" s="2" t="s">
        <v>9</v>
      </c>
      <c r="M41" s="2" t="s">
        <v>10</v>
      </c>
      <c r="O41" s="11">
        <v>0.92500000000000004</v>
      </c>
      <c r="P41" s="11">
        <v>4.1513710937499999</v>
      </c>
      <c r="Q41" s="11">
        <v>4.630572916666666</v>
      </c>
      <c r="R41" s="11">
        <v>-2.9914815263874628</v>
      </c>
      <c r="U41" s="5"/>
    </row>
    <row r="42" spans="9:21" ht="13.5" customHeight="1" x14ac:dyDescent="0.2">
      <c r="K42" s="2" t="s">
        <v>16</v>
      </c>
      <c r="L42" s="6" cm="1">
        <f t="array" ref="L42">_xlfn.XLOOKUP($M$42,MOMENT_list,x_list,NA(),0,1)</f>
        <v>2.4249999999999998</v>
      </c>
      <c r="M42" s="7">
        <f>_xlfn.LET(_xlpm.Y,_xlfn.AGGREGATE(4,2,MOMENT_list),IF(_xlpm.Y=0,NA(),_xlpm.Y))</f>
        <v>9.4419726562499999</v>
      </c>
      <c r="O42" s="11">
        <v>0.95</v>
      </c>
      <c r="P42" s="11">
        <v>4.267281249999999</v>
      </c>
      <c r="Q42" s="11">
        <v>4.642291666666666</v>
      </c>
      <c r="R42" s="11">
        <v>-3.0605060458201461</v>
      </c>
      <c r="U42" s="5"/>
    </row>
    <row r="43" spans="9:21" ht="13.5" customHeight="1" x14ac:dyDescent="0.2">
      <c r="K43" s="2" t="s">
        <v>17</v>
      </c>
      <c r="L43" s="6" cm="1">
        <f t="array" ref="L43">_xlfn.XLOOKUP($M$43,MOMENT_list,x_list,NA(),0,1)</f>
        <v>4</v>
      </c>
      <c r="M43" s="7">
        <f>_xlfn.LET(_xlpm.Y,_xlfn.AGGREGATE(5,2,MOMENT_list),IF(_xlpm.Y=0,NA(),_xlpm.Y))</f>
        <v>-6</v>
      </c>
      <c r="O43" s="11">
        <v>0.97499999999999998</v>
      </c>
      <c r="P43" s="11">
        <v>4.3834882812500009</v>
      </c>
      <c r="Q43" s="11">
        <v>4.6543229166666666</v>
      </c>
      <c r="R43" s="11">
        <v>-3.1285778238249708</v>
      </c>
    </row>
    <row r="44" spans="9:21" ht="13.5" customHeight="1" x14ac:dyDescent="0.2">
      <c r="O44" s="11">
        <v>0.99999990000000005</v>
      </c>
      <c r="P44" s="11">
        <v>4.4999995333333365</v>
      </c>
      <c r="Q44" s="11">
        <v>4.666666616666669</v>
      </c>
      <c r="R44" s="11">
        <v>-3.1956706488764826</v>
      </c>
    </row>
    <row r="45" spans="9:21" ht="13.5" customHeight="1" x14ac:dyDescent="0.2">
      <c r="L45" s="2" t="s">
        <v>9</v>
      </c>
      <c r="M45" s="2" t="s">
        <v>11</v>
      </c>
      <c r="O45" s="11">
        <v>1</v>
      </c>
      <c r="P45" s="11">
        <v>4.5</v>
      </c>
      <c r="Q45" s="11">
        <v>4.6666666666666661</v>
      </c>
      <c r="R45" s="11">
        <v>-3.1956709152568212</v>
      </c>
    </row>
    <row r="46" spans="9:21" ht="13.5" customHeight="1" x14ac:dyDescent="0.2">
      <c r="I46" s="13"/>
      <c r="J46" s="13"/>
      <c r="K46" s="2" t="s">
        <v>16</v>
      </c>
      <c r="L46" s="6" cm="1">
        <f t="array" ref="L46">_xlfn.XLOOKUP($M$46,SHEAR_list,x_list,NA(),0,-1)</f>
        <v>5</v>
      </c>
      <c r="M46" s="8">
        <f>_xlfn.LET(_xlpm.Y,_xlfn.AGGREGATE(4,2,SHEAR_list),IF(_xlpm.Y=0,NA(),_xlpm.Y))</f>
        <v>5</v>
      </c>
      <c r="O46" s="11">
        <v>1.0000001000000001</v>
      </c>
      <c r="P46" s="11">
        <v>4.5000003666666686</v>
      </c>
      <c r="Q46" s="11">
        <v>3.6666667166666693</v>
      </c>
      <c r="R46" s="11">
        <v>-3.1956711816371453</v>
      </c>
    </row>
    <row r="47" spans="9:21" ht="13.5" customHeight="1" x14ac:dyDescent="0.2">
      <c r="K47" s="2" t="s">
        <v>17</v>
      </c>
      <c r="L47" s="6" cm="1">
        <f t="array" ref="L47">_xlfn.XLOOKUP($M$47,SHEAR_list,x_list,NA(),0,1)</f>
        <v>4</v>
      </c>
      <c r="M47" s="8">
        <f>_xlfn.LET(_xlpm.Y,_xlfn.AGGREGATE(5,2,SHEAR_list),IF(_xlpm.Y=0,NA(),_xlpm.Y))</f>
        <v>-20.583333333333336</v>
      </c>
      <c r="O47" s="11">
        <v>1.0249999999999999</v>
      </c>
      <c r="P47" s="11">
        <v>4.5918242187499994</v>
      </c>
      <c r="Q47" s="11">
        <v>3.6793229166666661</v>
      </c>
      <c r="R47" s="11">
        <v>-3.261760237216587</v>
      </c>
    </row>
    <row r="48" spans="9:21" ht="13.5" customHeight="1" x14ac:dyDescent="0.2">
      <c r="O48" s="11">
        <v>1.05</v>
      </c>
      <c r="P48" s="11">
        <v>4.68396875</v>
      </c>
      <c r="Q48" s="11">
        <v>3.6922916666666667</v>
      </c>
      <c r="R48" s="11">
        <v>-3.3268243581233747</v>
      </c>
    </row>
    <row r="49" spans="11:18" ht="13.5" customHeight="1" x14ac:dyDescent="0.2">
      <c r="L49" s="2" t="s">
        <v>9</v>
      </c>
      <c r="M49" s="2" t="s">
        <v>12</v>
      </c>
      <c r="O49" s="11">
        <v>1.075</v>
      </c>
      <c r="P49" s="11">
        <v>4.77644140625</v>
      </c>
      <c r="Q49" s="11">
        <v>3.7055729166666662</v>
      </c>
      <c r="R49" s="11">
        <v>-3.3908427051537799</v>
      </c>
    </row>
    <row r="50" spans="11:18" ht="13.5" customHeight="1" x14ac:dyDescent="0.2">
      <c r="K50" s="2" t="s">
        <v>16</v>
      </c>
      <c r="L50" s="6" cm="1">
        <f t="array" ref="L50">_xlfn.XLOOKUP($M$50,DEFLECTION_list,x_list,NA(),0,-1)</f>
        <v>6.34</v>
      </c>
      <c r="M50" s="9">
        <f>_xlfn.LET(_xlpm.Y,_xlfn.AGGREGATE(4,2,DEFLECTION_list),IF(ROUND(_xlpm.Y,4)=0,NA(),_xlpm.Y))</f>
        <v>5.5743098422496615</v>
      </c>
      <c r="O50" s="11">
        <v>1.1000000000000001</v>
      </c>
      <c r="P50" s="11">
        <v>4.8692500000000001</v>
      </c>
      <c r="Q50" s="11">
        <v>3.7191666666666663</v>
      </c>
      <c r="R50" s="11">
        <v>-3.4537946322254625</v>
      </c>
    </row>
    <row r="51" spans="11:18" ht="13.5" customHeight="1" x14ac:dyDescent="0.2">
      <c r="K51" s="2" t="s">
        <v>17</v>
      </c>
      <c r="L51" s="6" cm="1">
        <f t="array" ref="L51">_xlfn.XLOOKUP($M$51,DEFLECTION_list,x_list,NA(),0,1)</f>
        <v>2.125</v>
      </c>
      <c r="M51" s="9">
        <f>_xlfn.LET(_xlpm.Y,_xlfn.AGGREGATE(5,2,DEFLECTION_list),IF(ROUND(_xlpm.Y,4)=0,NA(),_xlpm.Y))</f>
        <v>-4.8498069616811108</v>
      </c>
      <c r="O51" s="11">
        <v>1.125</v>
      </c>
      <c r="P51" s="11">
        <v>4.96240234375</v>
      </c>
      <c r="Q51" s="11">
        <v>3.7330729166666661</v>
      </c>
      <c r="R51" s="11">
        <v>-3.5156594182528877</v>
      </c>
    </row>
    <row r="52" spans="11:18" ht="13.5" customHeight="1" x14ac:dyDescent="0.2">
      <c r="K52" s="10" t="s">
        <v>19</v>
      </c>
      <c r="L52" s="6" t="e">
        <f>_xlfn.LET(_xlpm.X,L_main+L_cant,IF(OR(_xlpm.X=L50,_xlpm.X=L51),NA(),_xlpm.X))</f>
        <v>#N/A</v>
      </c>
      <c r="M52" s="9" t="e" cm="1">
        <f t="array" ref="M52">IF(L_main=L_main+L_cant,NA(),_xlfn.XLOOKUP(L52,x_list,DEFLECTION_list,NA(),0,1))</f>
        <v>#N/A</v>
      </c>
      <c r="O52" s="11">
        <v>1.1499999999999999</v>
      </c>
      <c r="P52" s="11">
        <v>5.0559062499999987</v>
      </c>
      <c r="Q52" s="11">
        <v>3.7472916666666665</v>
      </c>
      <c r="R52" s="11">
        <v>-3.5764162654030756</v>
      </c>
    </row>
    <row r="53" spans="11:18" ht="13.5" customHeight="1" x14ac:dyDescent="0.2">
      <c r="K53" s="2" t="s">
        <v>23</v>
      </c>
      <c r="L53" s="6" cm="1">
        <f t="array" ref="L53">_xlfn.LET(_xlpm.X,_xlfn.XLOOKUP($M$53,DEFLECTION_list,x_list,NA(),0,1),IF(ROUND(_xlpm.X,4)=0,NA(),_xlpm.X))</f>
        <v>6.34</v>
      </c>
      <c r="M53" s="9" cm="1">
        <f t="array" ref="M53">_xlfn.LET(_xlpm.Y,MAX(_xlfn._xlws.FILTER(DEFLECTION_list,NOT(ISNA(DEFLECTION_list))*(x_list&gt;L_main),NA())),IF(ROUND(_xlpm.Y,4)=0,NA(),_xlpm.Y))</f>
        <v>5.5743098422496615</v>
      </c>
      <c r="O53" s="11">
        <v>1.175</v>
      </c>
      <c r="P53" s="11">
        <v>5.1497695312499996</v>
      </c>
      <c r="Q53" s="11">
        <v>3.7618229166666666</v>
      </c>
      <c r="R53" s="11">
        <v>-3.6360442973513236</v>
      </c>
    </row>
    <row r="54" spans="11:18" ht="13.5" customHeight="1" x14ac:dyDescent="0.2">
      <c r="K54" s="2" t="s">
        <v>24</v>
      </c>
      <c r="L54" s="6" t="e" cm="1">
        <f t="array" ref="L54">_xlfn.LET(_xlpm.X,_xlfn.XLOOKUP($M$54,DEFLECTION_list,x_list,NA(),0,1),IF(_xlpm.X=0,NA(),_xlpm.X))</f>
        <v>#N/A</v>
      </c>
      <c r="M54" s="9" t="e" cm="1">
        <f t="array" ref="M54">_xlfn.LET(_xlpm.Y,MIN(_xlfn._xlws.FILTER(DEFLECTION_list,NOT(ISNA(DEFLECTION_list))*(x_list&gt;L_main),NA())),IF(ROUND(_xlpm.Y,4)=0,NA(),_xlpm.Y))</f>
        <v>#N/A</v>
      </c>
      <c r="O54" s="11">
        <v>1.2</v>
      </c>
      <c r="P54" s="11">
        <v>5.2439999999999998</v>
      </c>
      <c r="Q54" s="11">
        <v>3.7766666666666664</v>
      </c>
      <c r="R54" s="11">
        <v>-3.6945225575369611</v>
      </c>
    </row>
    <row r="55" spans="11:18" ht="13.5" customHeight="1" x14ac:dyDescent="0.2">
      <c r="K55" s="2" t="s">
        <v>22</v>
      </c>
      <c r="L55" s="6" t="e" cm="1">
        <f t="array" ref="L55">_xlfn.LET(_xlpm.X,_xlfn.XLOOKUP($M$55,DEFLECTION_list,x_list,NA(),0,1),IF(ROUND(_xlpm.X,4)=0,NA(),_xlpm.X))</f>
        <v>#N/A</v>
      </c>
      <c r="M55" s="9" t="e" cm="1">
        <f t="array" ref="M55">_xlfn.LET(_xlpm.Y,MAX(_xlfn._xlws.FILTER(DEFLECTION_list,NOT(ISNA(DEFLECTION_list))*(x_list&lt;=L_main),NA())),IF(ROUND(_xlpm.Y,4)=0,NA(),_xlpm.Y))</f>
        <v>#N/A</v>
      </c>
      <c r="O55" s="11">
        <v>1.2250000000000001</v>
      </c>
      <c r="P55" s="11">
        <v>5.3386054687500009</v>
      </c>
      <c r="Q55" s="11">
        <v>3.7918229166666668</v>
      </c>
      <c r="R55" s="11">
        <v>-3.751830007419084</v>
      </c>
    </row>
    <row r="56" spans="11:18" ht="13.5" customHeight="1" x14ac:dyDescent="0.2">
      <c r="K56" s="2" t="s">
        <v>21</v>
      </c>
      <c r="L56" s="6" cm="1">
        <f t="array" ref="L56">_xlfn.LET(_xlpm.X,_xlfn.XLOOKUP($M$56,DEFLECTION_list,x_list,NA(),0,1),IF(_xlpm.X=0,NA(),_xlpm.X))</f>
        <v>2.125</v>
      </c>
      <c r="M56" s="9" cm="1">
        <f t="array" ref="M56">_xlfn.LET(_xlpm.Y,MIN(_xlfn._xlws.FILTER(DEFLECTION_list,NOT(ISNA(DEFLECTION_list))*(x_list&lt;=L_main),NA())),IF(ROUND(_xlpm.Y,4)=0,NA(),_xlpm.Y))</f>
        <v>-4.8498069616811108</v>
      </c>
      <c r="O56" s="11">
        <v>1.25</v>
      </c>
      <c r="P56" s="11">
        <v>5.4335937499999991</v>
      </c>
      <c r="Q56" s="11">
        <v>3.8072916666666661</v>
      </c>
      <c r="R56" s="11">
        <v>-3.8079455247322911</v>
      </c>
    </row>
    <row r="57" spans="11:18" ht="13.5" customHeight="1" x14ac:dyDescent="0.2">
      <c r="O57" s="11">
        <v>1.2749999999999999</v>
      </c>
      <c r="P57" s="11">
        <v>5.5289726562499988</v>
      </c>
      <c r="Q57" s="11">
        <v>3.8230729166666659</v>
      </c>
      <c r="R57" s="11">
        <v>-3.8628479017424273</v>
      </c>
    </row>
    <row r="58" spans="11:18" ht="13.5" customHeight="1" x14ac:dyDescent="0.2">
      <c r="O58" s="11">
        <v>1.3</v>
      </c>
      <c r="P58" s="11">
        <v>5.6247499999999997</v>
      </c>
      <c r="Q58" s="11">
        <v>3.8391666666666664</v>
      </c>
      <c r="R58" s="11">
        <v>-3.9165158435023253</v>
      </c>
    </row>
    <row r="59" spans="11:18" ht="13.5" customHeight="1" x14ac:dyDescent="0.2">
      <c r="O59" s="11">
        <v>1.325</v>
      </c>
      <c r="P59" s="11">
        <v>5.7209335937499999</v>
      </c>
      <c r="Q59" s="11">
        <v>3.8555729166666666</v>
      </c>
      <c r="R59" s="11">
        <v>-3.9689279661075383</v>
      </c>
    </row>
    <row r="60" spans="11:18" ht="13.5" customHeight="1" x14ac:dyDescent="0.2">
      <c r="O60" s="11">
        <v>1.35</v>
      </c>
      <c r="P60" s="11">
        <v>5.8175312499999992</v>
      </c>
      <c r="Q60" s="11">
        <v>3.8722916666666665</v>
      </c>
      <c r="R60" s="11">
        <v>-4.020062794952092</v>
      </c>
    </row>
    <row r="61" spans="11:18" ht="13.5" customHeight="1" x14ac:dyDescent="0.2">
      <c r="O61" s="11">
        <v>1.375</v>
      </c>
      <c r="P61" s="11">
        <v>5.9145507812499991</v>
      </c>
      <c r="Q61" s="11">
        <v>3.8893229166666661</v>
      </c>
      <c r="R61" s="11">
        <v>-4.0698987629842049</v>
      </c>
    </row>
    <row r="62" spans="11:18" ht="13.5" customHeight="1" x14ac:dyDescent="0.2">
      <c r="O62" s="11">
        <v>1.4</v>
      </c>
      <c r="P62" s="11">
        <v>6.0119999999999996</v>
      </c>
      <c r="Q62" s="11">
        <v>3.9066666666666663</v>
      </c>
      <c r="R62" s="11">
        <v>-4.1184142089620499</v>
      </c>
    </row>
    <row r="63" spans="11:18" ht="13.5" customHeight="1" x14ac:dyDescent="0.2">
      <c r="O63" s="11">
        <v>1.425</v>
      </c>
      <c r="P63" s="11">
        <v>6.1098867187500003</v>
      </c>
      <c r="Q63" s="11">
        <v>3.9243229166666662</v>
      </c>
      <c r="R63" s="11">
        <v>-4.1655873757094763</v>
      </c>
    </row>
    <row r="64" spans="11:18" ht="13.5" customHeight="1" x14ac:dyDescent="0.2">
      <c r="O64" s="11">
        <v>1.45</v>
      </c>
      <c r="P64" s="11">
        <v>6.2082187499999995</v>
      </c>
      <c r="Q64" s="11">
        <v>3.9422916666666667</v>
      </c>
      <c r="R64" s="11">
        <v>-4.2113964083717654</v>
      </c>
    </row>
    <row r="65" spans="13:18" ht="13.5" customHeight="1" x14ac:dyDescent="0.2">
      <c r="O65" s="11">
        <v>1.4750000000000001</v>
      </c>
      <c r="P65" s="11">
        <v>6.3070039062500003</v>
      </c>
      <c r="Q65" s="11">
        <v>3.9605729166666661</v>
      </c>
      <c r="R65" s="11">
        <v>-4.2558193526713524</v>
      </c>
    </row>
    <row r="66" spans="13:18" ht="13.5" customHeight="1" x14ac:dyDescent="0.2">
      <c r="O66" s="11">
        <v>1.5</v>
      </c>
      <c r="P66" s="11">
        <v>6.40625</v>
      </c>
      <c r="Q66" s="11">
        <v>3.9791666666666661</v>
      </c>
      <c r="R66" s="11">
        <v>-4.2988341531635816</v>
      </c>
    </row>
    <row r="67" spans="13:18" ht="13.5" customHeight="1" x14ac:dyDescent="0.2">
      <c r="O67" s="11">
        <v>1.5249999999999999</v>
      </c>
      <c r="P67" s="11">
        <v>6.5059648437499993</v>
      </c>
      <c r="Q67" s="11">
        <v>3.9980729166666666</v>
      </c>
      <c r="R67" s="11">
        <v>-4.3404186514924357</v>
      </c>
    </row>
    <row r="68" spans="13:18" ht="13.5" customHeight="1" x14ac:dyDescent="0.2">
      <c r="O68" s="11">
        <v>1.55</v>
      </c>
      <c r="P68" s="11">
        <v>6.6061562500000006</v>
      </c>
      <c r="Q68" s="11">
        <v>4.0172916666666669</v>
      </c>
      <c r="R68" s="11">
        <v>-4.3805505846462829</v>
      </c>
    </row>
    <row r="69" spans="13:18" ht="13.5" customHeight="1" x14ac:dyDescent="0.2">
      <c r="O69" s="11">
        <v>1.575</v>
      </c>
      <c r="P69" s="11">
        <v>6.7068320312499994</v>
      </c>
      <c r="Q69" s="11">
        <v>4.036822916666666</v>
      </c>
      <c r="R69" s="11">
        <v>-4.4192075832136126</v>
      </c>
    </row>
    <row r="70" spans="13:18" ht="13.5" customHeight="1" x14ac:dyDescent="0.2">
      <c r="M70" s="4"/>
      <c r="O70" s="11">
        <v>1.6</v>
      </c>
      <c r="P70" s="11">
        <v>6.8080000000000007</v>
      </c>
      <c r="Q70" s="11">
        <v>4.0566666666666666</v>
      </c>
      <c r="R70" s="11">
        <v>-4.4563671696387761</v>
      </c>
    </row>
    <row r="71" spans="13:18" ht="13.5" customHeight="1" x14ac:dyDescent="0.2">
      <c r="O71" s="11">
        <v>1.625</v>
      </c>
      <c r="P71" s="11">
        <v>6.90966796875</v>
      </c>
      <c r="Q71" s="11">
        <v>4.0768229166666661</v>
      </c>
      <c r="R71" s="11">
        <v>-4.4920067564777231</v>
      </c>
    </row>
    <row r="72" spans="13:18" ht="13.5" customHeight="1" x14ac:dyDescent="0.2">
      <c r="O72" s="11">
        <v>1.65</v>
      </c>
      <c r="P72" s="11">
        <v>7.0118437499999979</v>
      </c>
      <c r="Q72" s="11">
        <v>4.0972916666666661</v>
      </c>
      <c r="R72" s="11">
        <v>-4.5261036446537481</v>
      </c>
    </row>
    <row r="73" spans="13:18" ht="13.5" customHeight="1" x14ac:dyDescent="0.2">
      <c r="O73" s="11">
        <v>1.675</v>
      </c>
      <c r="P73" s="11">
        <v>7.1145351562500005</v>
      </c>
      <c r="Q73" s="11">
        <v>4.1180729166666667</v>
      </c>
      <c r="R73" s="11">
        <v>-4.5586350217132283</v>
      </c>
    </row>
    <row r="74" spans="13:18" ht="13.5" customHeight="1" x14ac:dyDescent="0.2">
      <c r="O74" s="11">
        <v>1.7</v>
      </c>
      <c r="P74" s="11">
        <v>7.2177500000000006</v>
      </c>
      <c r="Q74" s="11">
        <v>4.1391666666666662</v>
      </c>
      <c r="R74" s="11">
        <v>-4.5895779600813533</v>
      </c>
    </row>
    <row r="75" spans="13:18" ht="13.5" customHeight="1" x14ac:dyDescent="0.2">
      <c r="O75" s="11">
        <v>1.7250000000000001</v>
      </c>
      <c r="P75" s="11">
        <v>7.3214960937500004</v>
      </c>
      <c r="Q75" s="11">
        <v>4.1605729166666663</v>
      </c>
      <c r="R75" s="11">
        <v>-4.61890941531788</v>
      </c>
    </row>
    <row r="76" spans="13:18" ht="13.5" customHeight="1" x14ac:dyDescent="0.2">
      <c r="O76" s="11">
        <v>1.75</v>
      </c>
      <c r="P76" s="11">
        <v>7.4257812499999982</v>
      </c>
      <c r="Q76" s="11">
        <v>4.1822916666666661</v>
      </c>
      <c r="R76" s="11">
        <v>-4.6466062243728645</v>
      </c>
    </row>
    <row r="77" spans="13:18" ht="13.5" customHeight="1" x14ac:dyDescent="0.2">
      <c r="O77" s="11">
        <v>1.7749999999999999</v>
      </c>
      <c r="P77" s="11">
        <v>7.5306132812499991</v>
      </c>
      <c r="Q77" s="11">
        <v>4.2043229166666665</v>
      </c>
      <c r="R77" s="11">
        <v>-4.6726451038423971</v>
      </c>
    </row>
    <row r="78" spans="13:18" ht="13.5" customHeight="1" x14ac:dyDescent="0.2">
      <c r="O78" s="11">
        <v>1.8</v>
      </c>
      <c r="P78" s="11">
        <v>7.6359999999999992</v>
      </c>
      <c r="Q78" s="11">
        <v>4.2266666666666666</v>
      </c>
      <c r="R78" s="11">
        <v>-4.6970026482243572</v>
      </c>
    </row>
    <row r="79" spans="13:18" ht="13.5" customHeight="1" x14ac:dyDescent="0.2">
      <c r="O79" s="11">
        <v>1.825</v>
      </c>
      <c r="P79" s="11">
        <v>7.7419492187499994</v>
      </c>
      <c r="Q79" s="11">
        <v>4.2493229166666664</v>
      </c>
      <c r="R79" s="11">
        <v>-4.7196553281741345</v>
      </c>
    </row>
    <row r="80" spans="13:18" ht="13.5" customHeight="1" x14ac:dyDescent="0.2">
      <c r="O80" s="11">
        <v>1.85</v>
      </c>
      <c r="P80" s="11">
        <v>7.8484687499999994</v>
      </c>
      <c r="Q80" s="11">
        <v>4.2722916666666668</v>
      </c>
      <c r="R80" s="11">
        <v>-4.7405794887603774</v>
      </c>
    </row>
    <row r="81" spans="15:18" ht="13.5" customHeight="1" x14ac:dyDescent="0.2">
      <c r="O81" s="11">
        <v>1.875</v>
      </c>
      <c r="P81" s="11">
        <v>7.95556640625</v>
      </c>
      <c r="Q81" s="11">
        <v>4.2955729166666661</v>
      </c>
      <c r="R81" s="11">
        <v>-4.7597513477207425</v>
      </c>
    </row>
    <row r="82" spans="15:18" ht="13.5" customHeight="1" x14ac:dyDescent="0.2">
      <c r="O82" s="11">
        <v>1.9</v>
      </c>
      <c r="P82" s="11">
        <v>8.06325</v>
      </c>
      <c r="Q82" s="11">
        <v>4.3191666666666659</v>
      </c>
      <c r="R82" s="11">
        <v>-4.7771469937176114</v>
      </c>
    </row>
    <row r="83" spans="15:18" ht="13.5" customHeight="1" x14ac:dyDescent="0.2">
      <c r="O83" s="11">
        <v>1.925</v>
      </c>
      <c r="P83" s="11">
        <v>8.1715273437499985</v>
      </c>
      <c r="Q83" s="11">
        <v>4.3430729166666664</v>
      </c>
      <c r="R83" s="11">
        <v>-4.7927423845938559</v>
      </c>
    </row>
    <row r="84" spans="15:18" ht="13.5" customHeight="1" x14ac:dyDescent="0.2">
      <c r="O84" s="11">
        <v>1.95</v>
      </c>
      <c r="P84" s="11">
        <v>8.2804062500000004</v>
      </c>
      <c r="Q84" s="11">
        <v>4.3672916666666666</v>
      </c>
      <c r="R84" s="11">
        <v>-4.8065133456285558</v>
      </c>
    </row>
    <row r="85" spans="15:18" ht="13.5" customHeight="1" x14ac:dyDescent="0.2">
      <c r="O85" s="11">
        <v>1.9750000000000001</v>
      </c>
      <c r="P85" s="11">
        <v>8.3898945312500004</v>
      </c>
      <c r="Q85" s="11">
        <v>4.3918229166666665</v>
      </c>
      <c r="R85" s="11">
        <v>-4.8184355677927524</v>
      </c>
    </row>
    <row r="86" spans="15:18" ht="13.5" customHeight="1" x14ac:dyDescent="0.2">
      <c r="O86" s="11">
        <v>2</v>
      </c>
      <c r="P86" s="11">
        <v>8.5</v>
      </c>
      <c r="Q86" s="11">
        <v>4.4166666666666661</v>
      </c>
      <c r="R86" s="11">
        <v>-4.8284846060051834</v>
      </c>
    </row>
    <row r="87" spans="15:18" ht="13.5" customHeight="1" x14ac:dyDescent="0.2">
      <c r="O87" s="11">
        <v>2.0249999999999999</v>
      </c>
      <c r="P87" s="11">
        <v>8.6072851562499988</v>
      </c>
      <c r="Q87" s="11">
        <v>4.1658854166666668</v>
      </c>
      <c r="R87" s="11">
        <v>-4.8366359414314459</v>
      </c>
    </row>
    <row r="88" spans="15:18" ht="13.5" customHeight="1" x14ac:dyDescent="0.2">
      <c r="O88" s="11">
        <v>2.0499999999999998</v>
      </c>
      <c r="P88" s="11">
        <v>8.7082812500000006</v>
      </c>
      <c r="Q88" s="11">
        <v>3.913541666666668</v>
      </c>
      <c r="R88" s="11">
        <v>-4.8428656856128143</v>
      </c>
    </row>
    <row r="89" spans="15:18" ht="13.5" customHeight="1" x14ac:dyDescent="0.2">
      <c r="O89" s="11">
        <v>2.0750000000000002</v>
      </c>
      <c r="P89" s="11">
        <v>8.8029492187500029</v>
      </c>
      <c r="Q89" s="11">
        <v>3.6596354166666645</v>
      </c>
      <c r="R89" s="11">
        <v>-4.8471512903510927</v>
      </c>
    </row>
    <row r="90" spans="15:18" ht="13.5" customHeight="1" x14ac:dyDescent="0.2">
      <c r="O90" s="11">
        <v>2.1</v>
      </c>
      <c r="P90" s="11">
        <v>8.8912499999999994</v>
      </c>
      <c r="Q90" s="11">
        <v>3.404166666666665</v>
      </c>
      <c r="R90" s="11">
        <v>-4.8494716202989254</v>
      </c>
    </row>
    <row r="91" spans="15:18" ht="13.5" customHeight="1" x14ac:dyDescent="0.2">
      <c r="O91" s="11">
        <v>2.125</v>
      </c>
      <c r="P91" s="11">
        <v>8.9731445312499982</v>
      </c>
      <c r="Q91" s="11">
        <v>3.1471354166666661</v>
      </c>
      <c r="R91" s="11">
        <v>-4.8498069616811108</v>
      </c>
    </row>
    <row r="92" spans="15:18" ht="13.5" customHeight="1" x14ac:dyDescent="0.2">
      <c r="O92" s="11">
        <v>2.15</v>
      </c>
      <c r="P92" s="11">
        <v>9.0485937500000002</v>
      </c>
      <c r="Q92" s="11">
        <v>2.8885416666666668</v>
      </c>
      <c r="R92" s="11">
        <v>-4.8481390310158696</v>
      </c>
    </row>
    <row r="93" spans="15:18" ht="13.5" customHeight="1" x14ac:dyDescent="0.2">
      <c r="O93" s="11">
        <v>2.1749999999999998</v>
      </c>
      <c r="P93" s="11">
        <v>9.1175585937499992</v>
      </c>
      <c r="Q93" s="11">
        <v>2.628385416666668</v>
      </c>
      <c r="R93" s="11">
        <v>-4.8444509838361824</v>
      </c>
    </row>
    <row r="94" spans="15:18" ht="13.5" customHeight="1" x14ac:dyDescent="0.2">
      <c r="O94" s="11">
        <v>2.2000000000000002</v>
      </c>
      <c r="P94" s="11">
        <v>9.1800000000000015</v>
      </c>
      <c r="Q94" s="11">
        <v>2.3666666666666645</v>
      </c>
      <c r="R94" s="11">
        <v>-4.8387274234110684</v>
      </c>
    </row>
    <row r="95" spans="15:18" ht="13.5" customHeight="1" x14ac:dyDescent="0.2">
      <c r="O95" s="11">
        <v>2.2250000000000001</v>
      </c>
      <c r="P95" s="11">
        <v>9.2358789062499991</v>
      </c>
      <c r="Q95" s="11">
        <v>2.1033854166666655</v>
      </c>
      <c r="R95" s="11">
        <v>-4.8309544094668864</v>
      </c>
    </row>
    <row r="96" spans="15:18" ht="13.5" customHeight="1" x14ac:dyDescent="0.2">
      <c r="O96" s="11">
        <v>2.25</v>
      </c>
      <c r="P96" s="11">
        <v>9.28515625</v>
      </c>
      <c r="Q96" s="11">
        <v>1.8385416666666665</v>
      </c>
      <c r="R96" s="11">
        <v>-4.8211194669086588</v>
      </c>
    </row>
    <row r="97" spans="15:18" ht="13.5" customHeight="1" x14ac:dyDescent="0.2">
      <c r="O97" s="11">
        <v>2.2749999999999999</v>
      </c>
      <c r="P97" s="11">
        <v>9.3277929687499999</v>
      </c>
      <c r="Q97" s="11">
        <v>1.5721354166666672</v>
      </c>
      <c r="R97" s="11">
        <v>-4.8092115945413418</v>
      </c>
    </row>
    <row r="98" spans="15:18" ht="13.5" customHeight="1" x14ac:dyDescent="0.2">
      <c r="O98" s="11">
        <v>2.2999999999999998</v>
      </c>
      <c r="P98" s="11">
        <v>9.3637499999999978</v>
      </c>
      <c r="Q98" s="11">
        <v>1.3041666666666685</v>
      </c>
      <c r="R98" s="11">
        <v>-4.7952212737911548</v>
      </c>
    </row>
    <row r="99" spans="15:18" ht="13.5" customHeight="1" x14ac:dyDescent="0.2">
      <c r="O99" s="11">
        <v>2.3250000000000002</v>
      </c>
      <c r="P99" s="11">
        <v>9.3929882812500001</v>
      </c>
      <c r="Q99" s="11">
        <v>1.0346354166666645</v>
      </c>
      <c r="R99" s="11">
        <v>-4.7791404774268598</v>
      </c>
    </row>
    <row r="100" spans="15:18" ht="13.5" customHeight="1" x14ac:dyDescent="0.2">
      <c r="O100" s="11">
        <v>2.35</v>
      </c>
      <c r="P100" s="11">
        <v>9.4154687499999987</v>
      </c>
      <c r="Q100" s="11">
        <v>0.76354166666666545</v>
      </c>
      <c r="R100" s="11">
        <v>-4.7609626782810786</v>
      </c>
    </row>
    <row r="101" spans="15:18" ht="13.5" customHeight="1" x14ac:dyDescent="0.2">
      <c r="O101" s="11">
        <v>2.375</v>
      </c>
      <c r="P101" s="11">
        <v>9.43115234375</v>
      </c>
      <c r="Q101" s="11">
        <v>0.49088541666666652</v>
      </c>
      <c r="R101" s="11">
        <v>-4.7406828579715885</v>
      </c>
    </row>
    <row r="102" spans="15:18" ht="13.5" customHeight="1" x14ac:dyDescent="0.2">
      <c r="O102" s="11">
        <v>2.4</v>
      </c>
      <c r="P102" s="11">
        <v>9.44</v>
      </c>
      <c r="Q102" s="11">
        <v>0.21666666666666701</v>
      </c>
      <c r="R102" s="11">
        <v>-4.718297515622619</v>
      </c>
    </row>
    <row r="103" spans="15:18" ht="13.5" customHeight="1" x14ac:dyDescent="0.2">
      <c r="O103" s="11">
        <v>2.4249999999999998</v>
      </c>
      <c r="P103" s="11">
        <v>9.4419726562499999</v>
      </c>
      <c r="Q103" s="11">
        <v>-5.9114583333331749E-2</v>
      </c>
      <c r="R103" s="11">
        <v>-4.6938046765861658</v>
      </c>
    </row>
    <row r="104" spans="15:18" ht="13.5" customHeight="1" x14ac:dyDescent="0.2">
      <c r="O104" s="11">
        <v>2.4500000000000002</v>
      </c>
      <c r="P104" s="11">
        <v>9.4370312500000022</v>
      </c>
      <c r="Q104" s="11">
        <v>-0.3364583333333353</v>
      </c>
      <c r="R104" s="11">
        <v>-4.6672039011632735</v>
      </c>
    </row>
    <row r="105" spans="15:18" ht="13.5" customHeight="1" x14ac:dyDescent="0.2">
      <c r="O105" s="11">
        <v>2.4750000000000001</v>
      </c>
      <c r="P105" s="11">
        <v>9.4251367187500001</v>
      </c>
      <c r="Q105" s="11">
        <v>-0.61536458333333477</v>
      </c>
      <c r="R105" s="11">
        <v>-4.6384962933253568</v>
      </c>
    </row>
    <row r="106" spans="15:18" ht="13.5" customHeight="1" x14ac:dyDescent="0.2">
      <c r="O106" s="11">
        <v>2.5</v>
      </c>
      <c r="P106" s="11">
        <v>9.4062499999999982</v>
      </c>
      <c r="Q106" s="11">
        <v>-0.8958333333333337</v>
      </c>
      <c r="R106" s="11">
        <v>-4.607684509435491</v>
      </c>
    </row>
    <row r="107" spans="15:18" ht="13.5" customHeight="1" x14ac:dyDescent="0.2">
      <c r="O107" s="11">
        <v>2.5249999999999999</v>
      </c>
      <c r="P107" s="11">
        <v>9.3803320312499991</v>
      </c>
      <c r="Q107" s="11">
        <v>-1.177864583333333</v>
      </c>
      <c r="R107" s="11">
        <v>-4.5747727669697156</v>
      </c>
    </row>
    <row r="108" spans="15:18" ht="13.5" customHeight="1" x14ac:dyDescent="0.2">
      <c r="O108" s="11">
        <v>2.5499999999999998</v>
      </c>
      <c r="P108" s="11">
        <v>9.3473437499999985</v>
      </c>
      <c r="Q108" s="11">
        <v>-1.4614583333333317</v>
      </c>
      <c r="R108" s="11">
        <v>-4.5397668532383308</v>
      </c>
    </row>
    <row r="109" spans="15:18" ht="13.5" customHeight="1" x14ac:dyDescent="0.2">
      <c r="O109" s="11">
        <v>2.5750000000000002</v>
      </c>
      <c r="P109" s="11">
        <v>9.3072460937500008</v>
      </c>
      <c r="Q109" s="11">
        <v>-1.7466145833333353</v>
      </c>
      <c r="R109" s="11">
        <v>-4.502674134107215</v>
      </c>
    </row>
    <row r="110" spans="15:18" ht="13.5" customHeight="1" x14ac:dyDescent="0.2">
      <c r="O110" s="11">
        <v>2.6</v>
      </c>
      <c r="P110" s="11">
        <v>9.259999999999998</v>
      </c>
      <c r="Q110" s="11">
        <v>-2.033333333333335</v>
      </c>
      <c r="R110" s="11">
        <v>-4.4635035627191</v>
      </c>
    </row>
    <row r="111" spans="15:18" ht="13.5" customHeight="1" x14ac:dyDescent="0.2">
      <c r="O111" s="11">
        <v>2.625</v>
      </c>
      <c r="P111" s="11">
        <v>9.20556640625</v>
      </c>
      <c r="Q111" s="11">
        <v>-2.3216145833333339</v>
      </c>
      <c r="R111" s="11">
        <v>-4.4222656882149032</v>
      </c>
    </row>
    <row r="112" spans="15:18" ht="13.5" customHeight="1" x14ac:dyDescent="0.2">
      <c r="O112" s="11">
        <v>2.65</v>
      </c>
      <c r="P112" s="11">
        <v>9.1439062500000006</v>
      </c>
      <c r="Q112" s="11">
        <v>-2.6114583333333332</v>
      </c>
      <c r="R112" s="11">
        <v>-4.3789726644550022</v>
      </c>
    </row>
    <row r="113" spans="15:18" ht="13.5" customHeight="1" x14ac:dyDescent="0.2">
      <c r="O113" s="11">
        <v>2.6749999999999998</v>
      </c>
      <c r="P113" s="11">
        <v>9.0749804687500006</v>
      </c>
      <c r="Q113" s="11">
        <v>-2.902864583333332</v>
      </c>
      <c r="R113" s="11">
        <v>-4.3336382587405566</v>
      </c>
    </row>
    <row r="114" spans="15:18" ht="13.5" customHeight="1" x14ac:dyDescent="0.2">
      <c r="O114" s="11">
        <v>2.7</v>
      </c>
      <c r="P114" s="11">
        <v>8.9987499999999994</v>
      </c>
      <c r="Q114" s="11">
        <v>-3.1958333333333355</v>
      </c>
      <c r="R114" s="11">
        <v>-4.2862778605347911</v>
      </c>
    </row>
    <row r="115" spans="15:18" ht="13.5" customHeight="1" x14ac:dyDescent="0.2">
      <c r="O115" s="11">
        <v>2.7250000000000001</v>
      </c>
      <c r="P115" s="11">
        <v>8.9151757812499977</v>
      </c>
      <c r="Q115" s="11">
        <v>-3.490364583333335</v>
      </c>
      <c r="R115" s="11">
        <v>-4.2369084901843141</v>
      </c>
    </row>
    <row r="116" spans="15:18" ht="13.5" customHeight="1" x14ac:dyDescent="0.2">
      <c r="O116" s="11">
        <v>2.75</v>
      </c>
      <c r="P116" s="11">
        <v>8.8242187499999982</v>
      </c>
      <c r="Q116" s="11">
        <v>-3.7864583333333335</v>
      </c>
      <c r="R116" s="11">
        <v>-4.1855488076404095</v>
      </c>
    </row>
    <row r="117" spans="15:18" ht="13.5" customHeight="1" x14ac:dyDescent="0.2">
      <c r="O117" s="11">
        <v>2.7749999999999999</v>
      </c>
      <c r="P117" s="11">
        <v>8.725839843750002</v>
      </c>
      <c r="Q117" s="11">
        <v>-4.0841145833333332</v>
      </c>
      <c r="R117" s="11">
        <v>-4.132219121180337</v>
      </c>
    </row>
    <row r="118" spans="15:18" ht="13.5" customHeight="1" x14ac:dyDescent="0.2">
      <c r="O118" s="11">
        <v>2.8</v>
      </c>
      <c r="P118" s="11">
        <v>8.6199999999999992</v>
      </c>
      <c r="Q118" s="11">
        <v>-4.3833333333333311</v>
      </c>
      <c r="R118" s="11">
        <v>-4.0769413961286398</v>
      </c>
    </row>
    <row r="119" spans="15:18" ht="13.5" customHeight="1" x14ac:dyDescent="0.2">
      <c r="O119" s="11">
        <v>2.8250000000000002</v>
      </c>
      <c r="P119" s="11">
        <v>8.5066601562500015</v>
      </c>
      <c r="Q119" s="11">
        <v>-4.6841145833333364</v>
      </c>
      <c r="R119" s="11">
        <v>-4.0197392635784475</v>
      </c>
    </row>
    <row r="120" spans="15:18" ht="13.5" customHeight="1" x14ac:dyDescent="0.2">
      <c r="O120" s="11">
        <v>2.85</v>
      </c>
      <c r="P120" s="11">
        <v>8.3857812499999991</v>
      </c>
      <c r="Q120" s="11">
        <v>-4.986458333333335</v>
      </c>
      <c r="R120" s="11">
        <v>-3.960638029112757</v>
      </c>
    </row>
    <row r="121" spans="15:18" ht="13.5" customHeight="1" x14ac:dyDescent="0.2">
      <c r="O121" s="11">
        <v>2.875</v>
      </c>
      <c r="P121" s="11">
        <v>8.25732421875</v>
      </c>
      <c r="Q121" s="11">
        <v>-5.2903645833333339</v>
      </c>
      <c r="R121" s="11">
        <v>-3.8996646815257723</v>
      </c>
    </row>
    <row r="122" spans="15:18" ht="13.5" customHeight="1" x14ac:dyDescent="0.2">
      <c r="O122" s="11">
        <v>2.9</v>
      </c>
      <c r="P122" s="11">
        <v>8.1212499999999999</v>
      </c>
      <c r="Q122" s="11">
        <v>-5.5958333333333332</v>
      </c>
      <c r="R122" s="11">
        <v>-3.836847901544163</v>
      </c>
    </row>
    <row r="123" spans="15:18" ht="13.5" customHeight="1" x14ac:dyDescent="0.2">
      <c r="O123" s="11">
        <v>2.9249999999999998</v>
      </c>
      <c r="P123" s="11">
        <v>7.9775195312499978</v>
      </c>
      <c r="Q123" s="11">
        <v>-5.9028645833333311</v>
      </c>
      <c r="R123" s="11">
        <v>-3.772218070548405</v>
      </c>
    </row>
    <row r="124" spans="15:18" ht="13.5" customHeight="1" x14ac:dyDescent="0.2">
      <c r="O124" s="11">
        <v>2.95</v>
      </c>
      <c r="P124" s="11">
        <v>7.8260937499999965</v>
      </c>
      <c r="Q124" s="11">
        <v>-6.2114583333333364</v>
      </c>
      <c r="R124" s="11">
        <v>-3.7058072792940506</v>
      </c>
    </row>
    <row r="125" spans="15:18" ht="13.5" customHeight="1" x14ac:dyDescent="0.2">
      <c r="O125" s="11">
        <v>2.9750000000000001</v>
      </c>
      <c r="P125" s="11">
        <v>7.6669335937500014</v>
      </c>
      <c r="Q125" s="11">
        <v>-6.521614583333335</v>
      </c>
      <c r="R125" s="11">
        <v>-3.6376493366330442</v>
      </c>
    </row>
    <row r="126" spans="15:18" ht="13.5" customHeight="1" x14ac:dyDescent="0.2">
      <c r="O126" s="11">
        <v>3</v>
      </c>
      <c r="P126" s="11">
        <v>7.4999999999999982</v>
      </c>
      <c r="Q126" s="11">
        <v>-6.8333333333333339</v>
      </c>
      <c r="R126" s="11">
        <v>-3.5677797782350278</v>
      </c>
    </row>
    <row r="127" spans="15:18" ht="13.5" customHeight="1" x14ac:dyDescent="0.2">
      <c r="O127" s="11">
        <v>3.0249999999999999</v>
      </c>
      <c r="P127" s="11">
        <v>7.3252539062500004</v>
      </c>
      <c r="Q127" s="11">
        <v>-7.1466145833333332</v>
      </c>
      <c r="R127" s="11">
        <v>-3.496235875308634</v>
      </c>
    </row>
    <row r="128" spans="15:18" ht="13.5" customHeight="1" x14ac:dyDescent="0.2">
      <c r="O128" s="11">
        <v>3.05</v>
      </c>
      <c r="P128" s="11">
        <v>7.1426562499999999</v>
      </c>
      <c r="Q128" s="11">
        <v>-7.4614583333333311</v>
      </c>
      <c r="R128" s="11">
        <v>-3.4230566433227918</v>
      </c>
    </row>
    <row r="129" spans="15:18" ht="13.5" customHeight="1" x14ac:dyDescent="0.2">
      <c r="O129" s="11">
        <v>3.0750000000000002</v>
      </c>
      <c r="P129" s="11">
        <v>6.9521679687499986</v>
      </c>
      <c r="Q129" s="11">
        <v>-7.7778645833333364</v>
      </c>
      <c r="R129" s="11">
        <v>-3.3482828507280251</v>
      </c>
    </row>
    <row r="130" spans="15:18" ht="13.5" customHeight="1" x14ac:dyDescent="0.2">
      <c r="O130" s="11">
        <v>3.1</v>
      </c>
      <c r="P130" s="11">
        <v>6.7537499999999975</v>
      </c>
      <c r="Q130" s="11">
        <v>-8.095833333333335</v>
      </c>
      <c r="R130" s="11">
        <v>-3.2719570276777583</v>
      </c>
    </row>
    <row r="131" spans="15:18" ht="13.5" customHeight="1" x14ac:dyDescent="0.2">
      <c r="O131" s="11">
        <v>3.125</v>
      </c>
      <c r="P131" s="11">
        <v>6.5473632812499982</v>
      </c>
      <c r="Q131" s="11">
        <v>-8.4153645833333339</v>
      </c>
      <c r="R131" s="11">
        <v>-3.194123474749611</v>
      </c>
    </row>
    <row r="132" spans="15:18" ht="13.5" customHeight="1" x14ac:dyDescent="0.2">
      <c r="O132" s="11">
        <v>3.15</v>
      </c>
      <c r="P132" s="11">
        <v>6.33296875</v>
      </c>
      <c r="Q132" s="11">
        <v>-8.7364583333333332</v>
      </c>
      <c r="R132" s="11">
        <v>-3.1148282716667097</v>
      </c>
    </row>
    <row r="133" spans="15:18" ht="13.5" customHeight="1" x14ac:dyDescent="0.2">
      <c r="O133" s="11">
        <v>3.1749999999999998</v>
      </c>
      <c r="P133" s="11">
        <v>6.1105273437500021</v>
      </c>
      <c r="Q133" s="11">
        <v>-9.0591145833333311</v>
      </c>
      <c r="R133" s="11">
        <v>-3.0341192860189845</v>
      </c>
    </row>
    <row r="134" spans="15:18" ht="13.5" customHeight="1" x14ac:dyDescent="0.2">
      <c r="O134" s="11">
        <v>3.2</v>
      </c>
      <c r="P134" s="11">
        <v>5.879999999999999</v>
      </c>
      <c r="Q134" s="11">
        <v>-9.3833333333333364</v>
      </c>
      <c r="R134" s="11">
        <v>-2.9520461819844566</v>
      </c>
    </row>
    <row r="135" spans="15:18" ht="13.5" customHeight="1" x14ac:dyDescent="0.2">
      <c r="O135" s="11">
        <v>3.2250000000000001</v>
      </c>
      <c r="P135" s="11">
        <v>5.6413476562499989</v>
      </c>
      <c r="Q135" s="11">
        <v>-9.709114583333335</v>
      </c>
      <c r="R135" s="11">
        <v>-2.8686604290505682</v>
      </c>
    </row>
    <row r="136" spans="15:18" ht="13.5" customHeight="1" x14ac:dyDescent="0.2">
      <c r="O136" s="11">
        <v>3.25</v>
      </c>
      <c r="P136" s="11">
        <v>5.3945312499999982</v>
      </c>
      <c r="Q136" s="11">
        <v>-10.036458333333334</v>
      </c>
      <c r="R136" s="11">
        <v>-2.7840153107354628</v>
      </c>
    </row>
    <row r="137" spans="15:18" ht="13.5" customHeight="1" x14ac:dyDescent="0.2">
      <c r="O137" s="11">
        <v>3.2749999999999999</v>
      </c>
      <c r="P137" s="11">
        <v>5.1395117187499979</v>
      </c>
      <c r="Q137" s="11">
        <v>-10.365364583333333</v>
      </c>
      <c r="R137" s="11">
        <v>-2.6981659333092916</v>
      </c>
    </row>
    <row r="138" spans="15:18" ht="13.5" customHeight="1" x14ac:dyDescent="0.2">
      <c r="O138" s="11">
        <v>3.3</v>
      </c>
      <c r="P138" s="11">
        <v>4.8762500000000024</v>
      </c>
      <c r="Q138" s="11">
        <v>-10.695833333333331</v>
      </c>
      <c r="R138" s="11">
        <v>-2.6111692345155091</v>
      </c>
    </row>
    <row r="139" spans="15:18" ht="13.5" customHeight="1" x14ac:dyDescent="0.2">
      <c r="O139" s="11">
        <v>3.3250000000000002</v>
      </c>
      <c r="P139" s="11">
        <v>4.6047070312499958</v>
      </c>
      <c r="Q139" s="11">
        <v>-11.027864583333335</v>
      </c>
      <c r="R139" s="11">
        <v>-2.523083992292201</v>
      </c>
    </row>
    <row r="140" spans="15:18" ht="13.5" customHeight="1" x14ac:dyDescent="0.2">
      <c r="O140" s="11">
        <v>3.35</v>
      </c>
      <c r="P140" s="11">
        <v>4.3248437500000003</v>
      </c>
      <c r="Q140" s="11">
        <v>-11.361458333333333</v>
      </c>
      <c r="R140" s="11">
        <v>-2.4339708334933432</v>
      </c>
    </row>
    <row r="141" spans="15:18" ht="13.5" customHeight="1" x14ac:dyDescent="0.2">
      <c r="O141" s="11">
        <v>3.375</v>
      </c>
      <c r="P141" s="11">
        <v>4.03662109375</v>
      </c>
      <c r="Q141" s="11">
        <v>-11.696614583333334</v>
      </c>
      <c r="R141" s="11">
        <v>-2.3438922426101394</v>
      </c>
    </row>
    <row r="142" spans="15:18" ht="13.5" customHeight="1" x14ac:dyDescent="0.2">
      <c r="O142" s="11">
        <v>3.4</v>
      </c>
      <c r="P142" s="11">
        <v>3.7399999999999993</v>
      </c>
      <c r="Q142" s="11">
        <v>-12.033333333333333</v>
      </c>
      <c r="R142" s="11">
        <v>-2.2529125704923079</v>
      </c>
    </row>
    <row r="143" spans="15:18" ht="13.5" customHeight="1" x14ac:dyDescent="0.2">
      <c r="O143" s="11">
        <v>3.4249999999999998</v>
      </c>
      <c r="P143" s="11">
        <v>3.4349414062500006</v>
      </c>
      <c r="Q143" s="11">
        <v>-12.371614583333331</v>
      </c>
      <c r="R143" s="11">
        <v>-2.1610980430693743</v>
      </c>
    </row>
    <row r="144" spans="15:18" ht="13.5" customHeight="1" x14ac:dyDescent="0.2">
      <c r="O144" s="11">
        <v>3.45</v>
      </c>
      <c r="P144" s="11">
        <v>3.1214062499999966</v>
      </c>
      <c r="Q144" s="11">
        <v>-12.711458333333335</v>
      </c>
      <c r="R144" s="11">
        <v>-2.0685167700719997</v>
      </c>
    </row>
    <row r="145" spans="15:18" ht="13.5" customHeight="1" x14ac:dyDescent="0.2">
      <c r="O145" s="11">
        <v>3.4750000000000001</v>
      </c>
      <c r="P145" s="11">
        <v>2.79935546875</v>
      </c>
      <c r="Q145" s="11">
        <v>-13.052864583333333</v>
      </c>
      <c r="R145" s="11">
        <v>-1.9752387537532554</v>
      </c>
    </row>
    <row r="146" spans="15:18" ht="13.5" customHeight="1" x14ac:dyDescent="0.2">
      <c r="O146" s="11">
        <v>3.5</v>
      </c>
      <c r="P146" s="11">
        <v>2.4687499999999973</v>
      </c>
      <c r="Q146" s="11">
        <v>-13.395833333333334</v>
      </c>
      <c r="R146" s="11">
        <v>-1.881335897609933</v>
      </c>
    </row>
    <row r="147" spans="15:18" ht="13.5" customHeight="1" x14ac:dyDescent="0.2">
      <c r="O147" s="11">
        <v>3.5249999999999999</v>
      </c>
      <c r="P147" s="11">
        <v>2.1295507812500034</v>
      </c>
      <c r="Q147" s="11">
        <v>-13.740364583333333</v>
      </c>
      <c r="R147" s="11">
        <v>-1.786882015103852</v>
      </c>
    </row>
    <row r="148" spans="15:18" ht="13.5" customHeight="1" x14ac:dyDescent="0.2">
      <c r="O148" s="11">
        <v>3.55</v>
      </c>
      <c r="P148" s="11">
        <v>1.7817187500000018</v>
      </c>
      <c r="Q148" s="11">
        <v>-14.086458333333331</v>
      </c>
      <c r="R148" s="11">
        <v>-1.6919528383831495</v>
      </c>
    </row>
    <row r="149" spans="15:18" ht="13.5" customHeight="1" x14ac:dyDescent="0.2">
      <c r="O149" s="11">
        <v>3.5750000000000002</v>
      </c>
      <c r="P149" s="11">
        <v>1.425214843749997</v>
      </c>
      <c r="Q149" s="11">
        <v>-14.434114583333335</v>
      </c>
      <c r="R149" s="11">
        <v>-1.596626027003603</v>
      </c>
    </row>
    <row r="150" spans="15:18" ht="13.5" customHeight="1" x14ac:dyDescent="0.2">
      <c r="O150" s="11">
        <v>3.6</v>
      </c>
      <c r="P150" s="11">
        <v>1.0599999999999972</v>
      </c>
      <c r="Q150" s="11">
        <v>-14.783333333333337</v>
      </c>
      <c r="R150" s="11">
        <v>-1.5009811766499046</v>
      </c>
    </row>
    <row r="151" spans="15:18" ht="13.5" customHeight="1" x14ac:dyDescent="0.2">
      <c r="O151" s="11">
        <v>3.625</v>
      </c>
      <c r="P151" s="11">
        <v>0.68603515624999822</v>
      </c>
      <c r="Q151" s="11">
        <v>-15.134114583333334</v>
      </c>
      <c r="R151" s="11">
        <v>-1.4050998278569806</v>
      </c>
    </row>
    <row r="152" spans="15:18" ht="13.5" customHeight="1" x14ac:dyDescent="0.2">
      <c r="O152" s="11">
        <v>3.65</v>
      </c>
      <c r="P152" s="11">
        <v>0.30328124999999928</v>
      </c>
      <c r="Q152" s="11">
        <v>-15.486458333333333</v>
      </c>
      <c r="R152" s="11">
        <v>-1.3090654747312844</v>
      </c>
    </row>
    <row r="153" spans="15:18" ht="13.5" customHeight="1" x14ac:dyDescent="0.2">
      <c r="O153" s="11">
        <v>3.6749999999999998</v>
      </c>
      <c r="P153" s="11">
        <v>-8.8300781250002292E-2</v>
      </c>
      <c r="Q153" s="11">
        <v>-15.840364583333331</v>
      </c>
      <c r="R153" s="11">
        <v>-1.2129635736721003</v>
      </c>
    </row>
    <row r="154" spans="15:18" ht="13.5" customHeight="1" x14ac:dyDescent="0.2">
      <c r="O154" s="11">
        <v>3.7</v>
      </c>
      <c r="P154" s="11">
        <v>-0.48875000000000357</v>
      </c>
      <c r="Q154" s="11">
        <v>-16.195833333333333</v>
      </c>
      <c r="R154" s="11">
        <v>-1.1168815520928606</v>
      </c>
    </row>
    <row r="155" spans="15:18" ht="13.5" customHeight="1" x14ac:dyDescent="0.2">
      <c r="O155" s="11">
        <v>3.7250000000000001</v>
      </c>
      <c r="P155" s="11">
        <v>-0.89810546875000141</v>
      </c>
      <c r="Q155" s="11">
        <v>-16.552864583333339</v>
      </c>
      <c r="R155" s="11">
        <v>-1.0209088171424201</v>
      </c>
    </row>
    <row r="156" spans="15:18" ht="13.5" customHeight="1" x14ac:dyDescent="0.2">
      <c r="O156" s="11">
        <v>3.75</v>
      </c>
      <c r="P156" s="11">
        <v>-1.3164062500000009</v>
      </c>
      <c r="Q156" s="11">
        <v>-16.911458333333336</v>
      </c>
      <c r="R156" s="11">
        <v>-0.92513676442636594</v>
      </c>
    </row>
    <row r="157" spans="15:18" ht="13.5" customHeight="1" x14ac:dyDescent="0.2">
      <c r="O157" s="11">
        <v>3.7749999999999999</v>
      </c>
      <c r="P157" s="11">
        <v>-1.7436914062500024</v>
      </c>
      <c r="Q157" s="11">
        <v>-17.271614583333331</v>
      </c>
      <c r="R157" s="11">
        <v>-0.82965878672833471</v>
      </c>
    </row>
    <row r="158" spans="15:18" ht="13.5" customHeight="1" x14ac:dyDescent="0.2">
      <c r="O158" s="11">
        <v>3.8</v>
      </c>
      <c r="P158" s="11">
        <v>-2.1799999999999975</v>
      </c>
      <c r="Q158" s="11">
        <v>-17.633333333333333</v>
      </c>
      <c r="R158" s="11">
        <v>-0.73457028273129388</v>
      </c>
    </row>
    <row r="159" spans="15:18" ht="13.5" customHeight="1" x14ac:dyDescent="0.2">
      <c r="O159" s="11">
        <v>3.8250000000000002</v>
      </c>
      <c r="P159" s="11">
        <v>-2.6253710937500032</v>
      </c>
      <c r="Q159" s="11">
        <v>-17.996614583333336</v>
      </c>
      <c r="R159" s="11">
        <v>-0.63996866573885791</v>
      </c>
    </row>
    <row r="160" spans="15:18" ht="13.5" customHeight="1" x14ac:dyDescent="0.2">
      <c r="O160" s="11">
        <v>3.85</v>
      </c>
      <c r="P160" s="11">
        <v>-3.0798437500000038</v>
      </c>
      <c r="Q160" s="11">
        <v>-18.361458333333339</v>
      </c>
      <c r="R160" s="11">
        <v>-0.54595337239658026</v>
      </c>
    </row>
    <row r="161" spans="15:18" ht="13.5" customHeight="1" x14ac:dyDescent="0.2">
      <c r="O161" s="11">
        <v>3.875</v>
      </c>
      <c r="P161" s="11">
        <v>-3.5434570312500022</v>
      </c>
      <c r="Q161" s="11">
        <v>-18.727864583333336</v>
      </c>
      <c r="R161" s="11">
        <v>-0.45262587141326244</v>
      </c>
    </row>
    <row r="162" spans="15:18" ht="13.5" customHeight="1" x14ac:dyDescent="0.2">
      <c r="O162" s="11">
        <v>3.9</v>
      </c>
      <c r="P162" s="11">
        <v>-4.0162499999999985</v>
      </c>
      <c r="Q162" s="11">
        <v>-19.095833333333335</v>
      </c>
      <c r="R162" s="11">
        <v>-0.36008967228223965</v>
      </c>
    </row>
    <row r="163" spans="15:18" ht="13.5" customHeight="1" x14ac:dyDescent="0.2">
      <c r="O163" s="11">
        <v>3.9249999999999998</v>
      </c>
      <c r="P163" s="11">
        <v>-4.4982617187500002</v>
      </c>
      <c r="Q163" s="11">
        <v>-19.465364583333333</v>
      </c>
      <c r="R163" s="11">
        <v>-0.26845033400270935</v>
      </c>
    </row>
    <row r="164" spans="15:18" ht="13.5" customHeight="1" x14ac:dyDescent="0.2">
      <c r="O164" s="11">
        <v>3.95</v>
      </c>
      <c r="P164" s="11">
        <v>-4.989531250000006</v>
      </c>
      <c r="Q164" s="11">
        <v>-19.836458333333336</v>
      </c>
      <c r="R164" s="11">
        <v>-0.17781547380100982</v>
      </c>
    </row>
    <row r="165" spans="15:18" ht="13.5" customHeight="1" x14ac:dyDescent="0.2">
      <c r="O165" s="11">
        <v>3.9750000000000001</v>
      </c>
      <c r="P165" s="11">
        <v>-5.4900976562500006</v>
      </c>
      <c r="Q165" s="11">
        <v>-20.209114583333339</v>
      </c>
      <c r="R165" s="11">
        <v>-8.829477585192505E-2</v>
      </c>
    </row>
    <row r="166" spans="15:18" ht="13.5" customHeight="1" x14ac:dyDescent="0.2">
      <c r="O166" s="11">
        <v>3.9999999000000002</v>
      </c>
      <c r="P166" s="11">
        <v>-5.9999979416667495</v>
      </c>
      <c r="Q166" s="11">
        <v>-20.58333183333335</v>
      </c>
      <c r="R166" s="11">
        <v>-3.5057618092381931E-7</v>
      </c>
    </row>
    <row r="167" spans="15:18" ht="13.5" customHeight="1" x14ac:dyDescent="0.2">
      <c r="O167" s="11">
        <v>4</v>
      </c>
      <c r="P167" s="11">
        <v>-6</v>
      </c>
      <c r="Q167" s="11">
        <v>-20.583333333333336</v>
      </c>
      <c r="R167" s="11">
        <v>-4.8849813083506888E-15</v>
      </c>
    </row>
    <row r="168" spans="15:18" ht="13.5" customHeight="1" x14ac:dyDescent="0.2">
      <c r="O168" s="11">
        <v>4.0000001000000003</v>
      </c>
      <c r="P168" s="11">
        <v>-5.9999994999999986</v>
      </c>
      <c r="Q168" s="11">
        <v>5</v>
      </c>
      <c r="R168" s="11">
        <v>3.5057615343291375E-7</v>
      </c>
    </row>
    <row r="169" spans="15:18" ht="13.5" customHeight="1" x14ac:dyDescent="0.2">
      <c r="O169" s="11">
        <v>4.0250000000000004</v>
      </c>
      <c r="P169" s="11">
        <v>-5.8749999999999982</v>
      </c>
      <c r="Q169" s="11">
        <v>5</v>
      </c>
      <c r="R169" s="11">
        <v>8.6978896267561209E-2</v>
      </c>
    </row>
    <row r="170" spans="15:18" ht="13.5" customHeight="1" x14ac:dyDescent="0.2">
      <c r="O170" s="11">
        <v>4.05</v>
      </c>
      <c r="P170" s="11">
        <v>-5.7500000000000009</v>
      </c>
      <c r="Q170" s="11">
        <v>5</v>
      </c>
      <c r="R170" s="11">
        <v>0.17264610879312106</v>
      </c>
    </row>
    <row r="171" spans="15:18" ht="13.5" customHeight="1" x14ac:dyDescent="0.2">
      <c r="O171" s="11">
        <v>4.0750000000000002</v>
      </c>
      <c r="P171" s="11">
        <v>-5.6249999999999991</v>
      </c>
      <c r="Q171" s="11">
        <v>5</v>
      </c>
      <c r="R171" s="11">
        <v>0.25702954574140779</v>
      </c>
    </row>
    <row r="172" spans="15:18" ht="13.5" customHeight="1" x14ac:dyDescent="0.2">
      <c r="O172" s="11">
        <v>4.0999999999999996</v>
      </c>
      <c r="P172" s="11">
        <v>-5.5000000000000018</v>
      </c>
      <c r="Q172" s="11">
        <v>5</v>
      </c>
      <c r="R172" s="11">
        <v>0.34015711527714293</v>
      </c>
    </row>
    <row r="173" spans="15:18" ht="13.5" customHeight="1" x14ac:dyDescent="0.2">
      <c r="O173" s="11">
        <v>4.125</v>
      </c>
      <c r="P173" s="11">
        <v>-5.375</v>
      </c>
      <c r="Q173" s="11">
        <v>5</v>
      </c>
      <c r="R173" s="11">
        <v>0.42205672556505008</v>
      </c>
    </row>
    <row r="174" spans="15:18" ht="13.5" customHeight="1" x14ac:dyDescent="0.2">
      <c r="O174" s="11">
        <v>4.1500000000000004</v>
      </c>
      <c r="P174" s="11">
        <v>-5.2499999999999982</v>
      </c>
      <c r="Q174" s="11">
        <v>5</v>
      </c>
      <c r="R174" s="11">
        <v>0.50275628476985257</v>
      </c>
    </row>
    <row r="175" spans="15:18" ht="13.5" customHeight="1" x14ac:dyDescent="0.2">
      <c r="O175" s="11">
        <v>4.1749999999999998</v>
      </c>
      <c r="P175" s="11">
        <v>-5.1250000000000009</v>
      </c>
      <c r="Q175" s="11">
        <v>5</v>
      </c>
      <c r="R175" s="11">
        <v>0.58228370105627369</v>
      </c>
    </row>
    <row r="176" spans="15:18" ht="13.5" customHeight="1" x14ac:dyDescent="0.2">
      <c r="O176" s="11">
        <v>4.2</v>
      </c>
      <c r="P176" s="11">
        <v>-4.9999999999999991</v>
      </c>
      <c r="Q176" s="11">
        <v>5</v>
      </c>
      <c r="R176" s="11">
        <v>0.66066688258903672</v>
      </c>
    </row>
    <row r="177" spans="15:18" ht="13.5" customHeight="1" x14ac:dyDescent="0.2">
      <c r="O177" s="11">
        <v>4.2249999999999996</v>
      </c>
      <c r="P177" s="11">
        <v>-4.8750000000000018</v>
      </c>
      <c r="Q177" s="11">
        <v>5</v>
      </c>
      <c r="R177" s="11">
        <v>0.73793373753286517</v>
      </c>
    </row>
    <row r="178" spans="15:18" ht="13.5" customHeight="1" x14ac:dyDescent="0.2">
      <c r="O178" s="11">
        <v>4.25</v>
      </c>
      <c r="P178" s="11">
        <v>-4.75</v>
      </c>
      <c r="Q178" s="11">
        <v>5</v>
      </c>
      <c r="R178" s="11">
        <v>0.81411217405248237</v>
      </c>
    </row>
    <row r="179" spans="15:18" ht="13.5" customHeight="1" x14ac:dyDescent="0.2">
      <c r="O179" s="11">
        <v>4.2750000000000004</v>
      </c>
      <c r="P179" s="11">
        <v>-4.6249999999999982</v>
      </c>
      <c r="Q179" s="11">
        <v>5</v>
      </c>
      <c r="R179" s="11">
        <v>0.88923010031261163</v>
      </c>
    </row>
    <row r="180" spans="15:18" ht="13.5" customHeight="1" x14ac:dyDescent="0.2">
      <c r="O180" s="11">
        <v>4.3</v>
      </c>
      <c r="P180" s="11">
        <v>-4.5000000000000009</v>
      </c>
      <c r="Q180" s="11">
        <v>5</v>
      </c>
      <c r="R180" s="11">
        <v>0.96331542447797647</v>
      </c>
    </row>
    <row r="181" spans="15:18" ht="13.5" customHeight="1" x14ac:dyDescent="0.2">
      <c r="O181" s="11">
        <v>4.3250000000000002</v>
      </c>
      <c r="P181" s="11">
        <v>-4.3749999999999991</v>
      </c>
      <c r="Q181" s="11">
        <v>5</v>
      </c>
      <c r="R181" s="11">
        <v>1.0363960547133</v>
      </c>
    </row>
    <row r="182" spans="15:18" ht="13.5" customHeight="1" x14ac:dyDescent="0.2">
      <c r="O182" s="11">
        <v>4.3499999999999996</v>
      </c>
      <c r="P182" s="11">
        <v>-4.2500000000000018</v>
      </c>
      <c r="Q182" s="11">
        <v>5</v>
      </c>
      <c r="R182" s="11">
        <v>1.1084998991833064</v>
      </c>
    </row>
    <row r="183" spans="15:18" ht="13.5" customHeight="1" x14ac:dyDescent="0.2">
      <c r="O183" s="11">
        <v>4.375</v>
      </c>
      <c r="P183" s="11">
        <v>-4.125</v>
      </c>
      <c r="Q183" s="11">
        <v>5</v>
      </c>
      <c r="R183" s="11">
        <v>1.1796548660527175</v>
      </c>
    </row>
    <row r="184" spans="15:18" ht="13.5" customHeight="1" x14ac:dyDescent="0.2">
      <c r="O184" s="11">
        <v>4.4000000000000004</v>
      </c>
      <c r="P184" s="11">
        <v>-3.9999999999999982</v>
      </c>
      <c r="Q184" s="11">
        <v>5</v>
      </c>
      <c r="R184" s="11">
        <v>1.2498888634862584</v>
      </c>
    </row>
    <row r="185" spans="15:18" ht="13.5" customHeight="1" x14ac:dyDescent="0.2">
      <c r="O185" s="11">
        <v>4.4249999999999998</v>
      </c>
      <c r="P185" s="11">
        <v>-3.8750000000000009</v>
      </c>
      <c r="Q185" s="11">
        <v>5</v>
      </c>
      <c r="R185" s="11">
        <v>1.3192297996486508</v>
      </c>
    </row>
    <row r="186" spans="15:18" ht="13.5" customHeight="1" x14ac:dyDescent="0.2">
      <c r="O186" s="11">
        <v>4.45</v>
      </c>
      <c r="P186" s="11">
        <v>-3.7499999999999991</v>
      </c>
      <c r="Q186" s="11">
        <v>5</v>
      </c>
      <c r="R186" s="11">
        <v>1.3877055827046192</v>
      </c>
    </row>
    <row r="187" spans="15:18" ht="13.5" customHeight="1" x14ac:dyDescent="0.2">
      <c r="O187" s="11">
        <v>4.4749999999999996</v>
      </c>
      <c r="P187" s="11">
        <v>-3.6250000000000018</v>
      </c>
      <c r="Q187" s="11">
        <v>5</v>
      </c>
      <c r="R187" s="11">
        <v>1.4553441208188864</v>
      </c>
    </row>
    <row r="188" spans="15:18" ht="13.5" customHeight="1" x14ac:dyDescent="0.2">
      <c r="O188" s="11">
        <v>4.5</v>
      </c>
      <c r="P188" s="11">
        <v>-3.5</v>
      </c>
      <c r="Q188" s="11">
        <v>5</v>
      </c>
      <c r="R188" s="11">
        <v>1.522173322156176</v>
      </c>
    </row>
    <row r="189" spans="15:18" ht="13.5" customHeight="1" x14ac:dyDescent="0.2">
      <c r="O189" s="11">
        <v>4.5250000000000004</v>
      </c>
      <c r="P189" s="11">
        <v>-3.3749999999999982</v>
      </c>
      <c r="Q189" s="11">
        <v>5</v>
      </c>
      <c r="R189" s="11">
        <v>1.5882210948812117</v>
      </c>
    </row>
    <row r="190" spans="15:18" ht="13.5" customHeight="1" x14ac:dyDescent="0.2">
      <c r="O190" s="11">
        <v>4.55</v>
      </c>
      <c r="P190" s="11">
        <v>-3.2500000000000009</v>
      </c>
      <c r="Q190" s="11">
        <v>5</v>
      </c>
      <c r="R190" s="11">
        <v>1.6535153471587165</v>
      </c>
    </row>
    <row r="191" spans="15:18" ht="13.5" customHeight="1" x14ac:dyDescent="0.2">
      <c r="O191" s="11">
        <v>4.5750000000000002</v>
      </c>
      <c r="P191" s="11">
        <v>-3.1249999999999991</v>
      </c>
      <c r="Q191" s="11">
        <v>5</v>
      </c>
      <c r="R191" s="11">
        <v>1.7180839871534141</v>
      </c>
    </row>
    <row r="192" spans="15:18" ht="13.5" customHeight="1" x14ac:dyDescent="0.2">
      <c r="O192" s="11">
        <v>4.5999999999999996</v>
      </c>
      <c r="P192" s="11">
        <v>-3.0000000000000018</v>
      </c>
      <c r="Q192" s="11">
        <v>5</v>
      </c>
      <c r="R192" s="11">
        <v>1.7819549230300271</v>
      </c>
    </row>
    <row r="193" spans="15:18" ht="13.5" customHeight="1" x14ac:dyDescent="0.2">
      <c r="O193" s="11">
        <v>4.625</v>
      </c>
      <c r="P193" s="11">
        <v>-2.875</v>
      </c>
      <c r="Q193" s="11">
        <v>5</v>
      </c>
      <c r="R193" s="11">
        <v>1.8451560629532788</v>
      </c>
    </row>
    <row r="194" spans="15:18" ht="13.5" customHeight="1" x14ac:dyDescent="0.2">
      <c r="O194" s="11">
        <v>4.6500000000000004</v>
      </c>
      <c r="P194" s="11">
        <v>-2.7499999999999982</v>
      </c>
      <c r="Q194" s="11">
        <v>5</v>
      </c>
      <c r="R194" s="11">
        <v>1.9077153150878936</v>
      </c>
    </row>
    <row r="195" spans="15:18" ht="13.5" customHeight="1" x14ac:dyDescent="0.2">
      <c r="O195" s="11">
        <v>4.6749999999999998</v>
      </c>
      <c r="P195" s="11">
        <v>-2.6250000000000009</v>
      </c>
      <c r="Q195" s="11">
        <v>5</v>
      </c>
      <c r="R195" s="11">
        <v>1.969660587598594</v>
      </c>
    </row>
    <row r="196" spans="15:18" ht="13.5" customHeight="1" x14ac:dyDescent="0.2">
      <c r="O196" s="11">
        <v>4.7</v>
      </c>
      <c r="P196" s="11">
        <v>-2.4999999999999991</v>
      </c>
      <c r="Q196" s="11">
        <v>5</v>
      </c>
      <c r="R196" s="11">
        <v>2.0310197886501062</v>
      </c>
    </row>
    <row r="197" spans="15:18" ht="13.5" customHeight="1" x14ac:dyDescent="0.2">
      <c r="O197" s="11">
        <v>4.7249999999999996</v>
      </c>
      <c r="P197" s="11">
        <v>-2.3750000000000018</v>
      </c>
      <c r="Q197" s="11">
        <v>5</v>
      </c>
      <c r="R197" s="11">
        <v>2.0918208264071487</v>
      </c>
    </row>
    <row r="198" spans="15:18" ht="13.5" customHeight="1" x14ac:dyDescent="0.2">
      <c r="O198" s="11">
        <v>4.75</v>
      </c>
      <c r="P198" s="11">
        <v>-2.25</v>
      </c>
      <c r="Q198" s="11">
        <v>5</v>
      </c>
      <c r="R198" s="11">
        <v>2.1520916090344473</v>
      </c>
    </row>
    <row r="199" spans="15:18" ht="13.5" customHeight="1" x14ac:dyDescent="0.2">
      <c r="O199" s="11">
        <v>4.7750000000000004</v>
      </c>
      <c r="P199" s="11">
        <v>-2.1249999999999982</v>
      </c>
      <c r="Q199" s="11">
        <v>5</v>
      </c>
      <c r="R199" s="11">
        <v>2.2118600446967265</v>
      </c>
    </row>
    <row r="200" spans="15:18" ht="13.5" customHeight="1" x14ac:dyDescent="0.2">
      <c r="O200" s="11">
        <v>4.8</v>
      </c>
      <c r="P200" s="11">
        <v>-2.0000000000000009</v>
      </c>
      <c r="Q200" s="11">
        <v>5</v>
      </c>
      <c r="R200" s="11">
        <v>2.2711540415587077</v>
      </c>
    </row>
    <row r="201" spans="15:18" ht="13.5" customHeight="1" x14ac:dyDescent="0.2">
      <c r="O201" s="11">
        <v>4.8250000000000002</v>
      </c>
      <c r="P201" s="11">
        <v>-1.8749999999999991</v>
      </c>
      <c r="Q201" s="11">
        <v>5</v>
      </c>
      <c r="R201" s="11">
        <v>2.3300015077851146</v>
      </c>
    </row>
    <row r="202" spans="15:18" ht="13.5" customHeight="1" x14ac:dyDescent="0.2">
      <c r="O202" s="11">
        <v>4.8499999999999996</v>
      </c>
      <c r="P202" s="11">
        <v>-1.7500000000000018</v>
      </c>
      <c r="Q202" s="11">
        <v>5</v>
      </c>
      <c r="R202" s="11">
        <v>2.3884303515406713</v>
      </c>
    </row>
    <row r="203" spans="15:18" ht="13.5" customHeight="1" x14ac:dyDescent="0.2">
      <c r="O203" s="11">
        <v>4.875</v>
      </c>
      <c r="P203" s="11">
        <v>-1.625</v>
      </c>
      <c r="Q203" s="11">
        <v>5</v>
      </c>
      <c r="R203" s="11">
        <v>2.4464684809901005</v>
      </c>
    </row>
    <row r="204" spans="15:18" ht="13.5" customHeight="1" x14ac:dyDescent="0.2">
      <c r="O204" s="11">
        <v>4.9000000000000004</v>
      </c>
      <c r="P204" s="11">
        <v>-1.4999999999999982</v>
      </c>
      <c r="Q204" s="11">
        <v>5</v>
      </c>
      <c r="R204" s="11">
        <v>2.5041438042981272</v>
      </c>
    </row>
    <row r="205" spans="15:18" ht="13.5" customHeight="1" x14ac:dyDescent="0.2">
      <c r="O205" s="11">
        <v>4.9249999999999998</v>
      </c>
      <c r="P205" s="11">
        <v>-1.3750000000000009</v>
      </c>
      <c r="Q205" s="11">
        <v>5</v>
      </c>
      <c r="R205" s="11">
        <v>2.5614842296294729</v>
      </c>
    </row>
    <row r="206" spans="15:18" ht="13.5" customHeight="1" x14ac:dyDescent="0.2">
      <c r="O206" s="11">
        <v>4.95</v>
      </c>
      <c r="P206" s="11">
        <v>-1.2499999999999991</v>
      </c>
      <c r="Q206" s="11">
        <v>5</v>
      </c>
      <c r="R206" s="11">
        <v>2.6185176651488611</v>
      </c>
    </row>
    <row r="207" spans="15:18" ht="13.5" customHeight="1" x14ac:dyDescent="0.2">
      <c r="O207" s="11">
        <v>4.9749999999999996</v>
      </c>
      <c r="P207" s="11">
        <v>-1.1250000000000018</v>
      </c>
      <c r="Q207" s="11">
        <v>5</v>
      </c>
      <c r="R207" s="11">
        <v>2.6752720190210164</v>
      </c>
    </row>
    <row r="208" spans="15:18" ht="13.5" customHeight="1" x14ac:dyDescent="0.2">
      <c r="O208" s="11">
        <v>4.9999998999999997</v>
      </c>
      <c r="P208" s="11">
        <v>-1.0000005000000014</v>
      </c>
      <c r="Q208" s="11">
        <v>5</v>
      </c>
      <c r="R208" s="11">
        <v>2.731774973863073</v>
      </c>
    </row>
    <row r="209" spans="15:18" ht="13.5" customHeight="1" x14ac:dyDescent="0.2">
      <c r="O209" s="11">
        <v>5</v>
      </c>
      <c r="P209" s="11">
        <v>-1</v>
      </c>
      <c r="Q209" s="11">
        <v>5</v>
      </c>
      <c r="R209" s="11">
        <v>2.7317751994106612</v>
      </c>
    </row>
    <row r="210" spans="15:18" ht="13.5" customHeight="1" x14ac:dyDescent="0.2">
      <c r="O210" s="11">
        <v>5.0000001000000003</v>
      </c>
      <c r="P210" s="11">
        <v>-0.99999989999999972</v>
      </c>
      <c r="Q210" s="11">
        <v>1</v>
      </c>
      <c r="R210" s="11">
        <v>2.7317754249582453</v>
      </c>
    </row>
    <row r="211" spans="15:18" ht="13.5" customHeight="1" x14ac:dyDescent="0.2">
      <c r="O211" s="11">
        <v>5.0250000000000004</v>
      </c>
      <c r="P211" s="11">
        <v>-0.97499999999999964</v>
      </c>
      <c r="Q211" s="11">
        <v>1</v>
      </c>
      <c r="R211" s="11">
        <v>2.7880513933938884</v>
      </c>
    </row>
    <row r="212" spans="15:18" ht="13.5" customHeight="1" x14ac:dyDescent="0.2">
      <c r="O212" s="11">
        <v>5.05</v>
      </c>
      <c r="P212" s="11">
        <v>-0.95000000000000018</v>
      </c>
      <c r="Q212" s="11">
        <v>1</v>
      </c>
      <c r="R212" s="11">
        <v>2.8441099036922739</v>
      </c>
    </row>
    <row r="213" spans="15:18" ht="13.5" customHeight="1" x14ac:dyDescent="0.2">
      <c r="O213" s="11">
        <v>5.0750000000000002</v>
      </c>
      <c r="P213" s="11">
        <v>-0.92499999999999982</v>
      </c>
      <c r="Q213" s="11">
        <v>1</v>
      </c>
      <c r="R213" s="11">
        <v>2.8999563119387624</v>
      </c>
    </row>
    <row r="214" spans="15:18" ht="13.5" customHeight="1" x14ac:dyDescent="0.2">
      <c r="O214" s="11">
        <v>5.0999999999999996</v>
      </c>
      <c r="P214" s="11">
        <v>-0.90000000000000036</v>
      </c>
      <c r="Q214" s="11">
        <v>1</v>
      </c>
      <c r="R214" s="11">
        <v>2.9555961997662976</v>
      </c>
    </row>
    <row r="215" spans="15:18" ht="13.5" customHeight="1" x14ac:dyDescent="0.2">
      <c r="O215" s="11">
        <v>5.125</v>
      </c>
      <c r="P215" s="11">
        <v>-0.875</v>
      </c>
      <c r="Q215" s="11">
        <v>1</v>
      </c>
      <c r="R215" s="11">
        <v>3.0110351488078253</v>
      </c>
    </row>
    <row r="216" spans="15:18" ht="13.5" customHeight="1" x14ac:dyDescent="0.2">
      <c r="O216" s="11">
        <v>5.15</v>
      </c>
      <c r="P216" s="11">
        <v>-0.84999999999999964</v>
      </c>
      <c r="Q216" s="11">
        <v>1</v>
      </c>
      <c r="R216" s="11">
        <v>3.0662787406962879</v>
      </c>
    </row>
    <row r="217" spans="15:18" ht="13.5" customHeight="1" x14ac:dyDescent="0.2">
      <c r="O217" s="11">
        <v>5.1749999999999998</v>
      </c>
      <c r="P217" s="11">
        <v>-0.82500000000000018</v>
      </c>
      <c r="Q217" s="11">
        <v>1</v>
      </c>
      <c r="R217" s="11">
        <v>3.1213325570646329</v>
      </c>
    </row>
    <row r="218" spans="15:18" ht="13.5" customHeight="1" x14ac:dyDescent="0.2">
      <c r="O218" s="11">
        <v>5.2</v>
      </c>
      <c r="P218" s="11">
        <v>-0.79999999999999982</v>
      </c>
      <c r="Q218" s="11">
        <v>1</v>
      </c>
      <c r="R218" s="11">
        <v>3.1762021795458035</v>
      </c>
    </row>
    <row r="219" spans="15:18" ht="13.5" customHeight="1" x14ac:dyDescent="0.2">
      <c r="O219" s="11">
        <v>5.2249999999999996</v>
      </c>
      <c r="P219" s="11">
        <v>-0.77500000000000036</v>
      </c>
      <c r="Q219" s="11">
        <v>1</v>
      </c>
      <c r="R219" s="11">
        <v>3.2308931897727446</v>
      </c>
    </row>
    <row r="220" spans="15:18" ht="13.5" customHeight="1" x14ac:dyDescent="0.2">
      <c r="O220" s="11">
        <v>5.25</v>
      </c>
      <c r="P220" s="11">
        <v>-0.75</v>
      </c>
      <c r="Q220" s="11">
        <v>1</v>
      </c>
      <c r="R220" s="11">
        <v>3.2854111693783992</v>
      </c>
    </row>
    <row r="221" spans="15:18" ht="13.5" customHeight="1" x14ac:dyDescent="0.2">
      <c r="O221" s="11">
        <v>5.2750000000000004</v>
      </c>
      <c r="P221" s="11">
        <v>-0.72499999999999964</v>
      </c>
      <c r="Q221" s="11">
        <v>1</v>
      </c>
      <c r="R221" s="11">
        <v>3.339761699995714</v>
      </c>
    </row>
    <row r="222" spans="15:18" ht="13.5" customHeight="1" x14ac:dyDescent="0.2">
      <c r="O222" s="11">
        <v>5.3</v>
      </c>
      <c r="P222" s="11">
        <v>-0.70000000000000018</v>
      </c>
      <c r="Q222" s="11">
        <v>1</v>
      </c>
      <c r="R222" s="11">
        <v>3.3939503632576349</v>
      </c>
    </row>
    <row r="223" spans="15:18" ht="13.5" customHeight="1" x14ac:dyDescent="0.2">
      <c r="O223" s="11">
        <v>5.3250000000000002</v>
      </c>
      <c r="P223" s="11">
        <v>-0.67499999999999982</v>
      </c>
      <c r="Q223" s="11">
        <v>1</v>
      </c>
      <c r="R223" s="11">
        <v>3.4479827407971051</v>
      </c>
    </row>
    <row r="224" spans="15:18" ht="13.5" customHeight="1" x14ac:dyDescent="0.2">
      <c r="O224" s="11">
        <v>5.35</v>
      </c>
      <c r="P224" s="11">
        <v>-0.65000000000000036</v>
      </c>
      <c r="Q224" s="11">
        <v>1</v>
      </c>
      <c r="R224" s="11">
        <v>3.5018644142470672</v>
      </c>
    </row>
    <row r="225" spans="15:18" ht="13.5" customHeight="1" x14ac:dyDescent="0.2">
      <c r="O225" s="11">
        <v>5.375</v>
      </c>
      <c r="P225" s="11">
        <v>-0.625</v>
      </c>
      <c r="Q225" s="11">
        <v>1</v>
      </c>
      <c r="R225" s="11">
        <v>3.5556009652404716</v>
      </c>
    </row>
    <row r="226" spans="15:18" ht="13.5" customHeight="1" x14ac:dyDescent="0.2">
      <c r="O226" s="11">
        <v>5.4</v>
      </c>
      <c r="P226" s="11">
        <v>-0.59999999999999964</v>
      </c>
      <c r="Q226" s="11">
        <v>1</v>
      </c>
      <c r="R226" s="11">
        <v>3.6091979754102561</v>
      </c>
    </row>
    <row r="227" spans="15:18" ht="13.5" customHeight="1" x14ac:dyDescent="0.2">
      <c r="O227" s="11">
        <v>5.4249999999999998</v>
      </c>
      <c r="P227" s="11">
        <v>-0.57500000000000018</v>
      </c>
      <c r="Q227" s="11">
        <v>1</v>
      </c>
      <c r="R227" s="11">
        <v>3.662661026389368</v>
      </c>
    </row>
    <row r="228" spans="15:18" ht="13.5" customHeight="1" x14ac:dyDescent="0.2">
      <c r="O228" s="11">
        <v>5.45</v>
      </c>
      <c r="P228" s="11">
        <v>-0.54999999999999982</v>
      </c>
      <c r="Q228" s="11">
        <v>1</v>
      </c>
      <c r="R228" s="11">
        <v>3.7159956998107537</v>
      </c>
    </row>
    <row r="229" spans="15:18" ht="13.5" customHeight="1" x14ac:dyDescent="0.2">
      <c r="O229" s="11">
        <v>5.4749999999999996</v>
      </c>
      <c r="P229" s="11">
        <v>-0.52500000000000036</v>
      </c>
      <c r="Q229" s="11">
        <v>1</v>
      </c>
      <c r="R229" s="11">
        <v>3.7692075773073555</v>
      </c>
    </row>
    <row r="230" spans="15:18" ht="13.5" customHeight="1" x14ac:dyDescent="0.2">
      <c r="O230" s="11">
        <v>5.5</v>
      </c>
      <c r="P230" s="11">
        <v>-0.5</v>
      </c>
      <c r="Q230" s="11">
        <v>1</v>
      </c>
      <c r="R230" s="11">
        <v>3.8223022405121201</v>
      </c>
    </row>
    <row r="231" spans="15:18" ht="13.5" customHeight="1" x14ac:dyDescent="0.2">
      <c r="O231" s="11">
        <v>5.5250000000000004</v>
      </c>
      <c r="P231" s="11">
        <v>-0.47499999999999964</v>
      </c>
      <c r="Q231" s="11">
        <v>1</v>
      </c>
      <c r="R231" s="11">
        <v>3.8752852710579906</v>
      </c>
    </row>
    <row r="232" spans="15:18" ht="13.5" customHeight="1" x14ac:dyDescent="0.2">
      <c r="O232" s="11">
        <v>5.55</v>
      </c>
      <c r="P232" s="11">
        <v>-0.45000000000000018</v>
      </c>
      <c r="Q232" s="11">
        <v>1</v>
      </c>
      <c r="R232" s="11">
        <v>3.9281622505779139</v>
      </c>
    </row>
    <row r="233" spans="15:18" ht="13.5" customHeight="1" x14ac:dyDescent="0.2">
      <c r="O233" s="11">
        <v>5.5750000000000002</v>
      </c>
      <c r="P233" s="11">
        <v>-0.42499999999999982</v>
      </c>
      <c r="Q233" s="11">
        <v>1</v>
      </c>
      <c r="R233" s="11">
        <v>3.9809387607048321</v>
      </c>
    </row>
    <row r="234" spans="15:18" ht="13.5" customHeight="1" x14ac:dyDescent="0.2">
      <c r="O234" s="11">
        <v>5.6</v>
      </c>
      <c r="P234" s="11">
        <v>-0.40000000000000036</v>
      </c>
      <c r="Q234" s="11">
        <v>1</v>
      </c>
      <c r="R234" s="11">
        <v>4.0336203830716899</v>
      </c>
    </row>
    <row r="235" spans="15:18" ht="13.5" customHeight="1" x14ac:dyDescent="0.2">
      <c r="O235" s="11">
        <v>5.625</v>
      </c>
      <c r="P235" s="11">
        <v>-0.375</v>
      </c>
      <c r="Q235" s="11">
        <v>1</v>
      </c>
      <c r="R235" s="11">
        <v>4.0862126993114334</v>
      </c>
    </row>
    <row r="236" spans="15:18" ht="13.5" customHeight="1" x14ac:dyDescent="0.2">
      <c r="O236" s="11">
        <v>5.65</v>
      </c>
      <c r="P236" s="11">
        <v>-0.34999999999999964</v>
      </c>
      <c r="Q236" s="11">
        <v>1</v>
      </c>
      <c r="R236" s="11">
        <v>4.1387212910570073</v>
      </c>
    </row>
    <row r="237" spans="15:18" ht="13.5" customHeight="1" x14ac:dyDescent="0.2">
      <c r="O237" s="11">
        <v>5.6749999999999998</v>
      </c>
      <c r="P237" s="11">
        <v>-0.32500000000000018</v>
      </c>
      <c r="Q237" s="11">
        <v>1</v>
      </c>
      <c r="R237" s="11">
        <v>4.1911517399413549</v>
      </c>
    </row>
    <row r="238" spans="15:18" ht="13.5" customHeight="1" x14ac:dyDescent="0.2">
      <c r="O238" s="11">
        <v>5.7</v>
      </c>
      <c r="P238" s="11">
        <v>-0.29999999999999982</v>
      </c>
      <c r="Q238" s="11">
        <v>1</v>
      </c>
      <c r="R238" s="11">
        <v>4.2435096275974216</v>
      </c>
    </row>
    <row r="239" spans="15:18" ht="13.5" customHeight="1" x14ac:dyDescent="0.2">
      <c r="O239" s="11">
        <v>5.7249999999999996</v>
      </c>
      <c r="P239" s="11">
        <v>-0.27500000000000036</v>
      </c>
      <c r="Q239" s="11">
        <v>1</v>
      </c>
      <c r="R239" s="11">
        <v>4.2958005356581532</v>
      </c>
    </row>
    <row r="240" spans="15:18" ht="13.5" customHeight="1" x14ac:dyDescent="0.2">
      <c r="O240" s="11">
        <v>5.75</v>
      </c>
      <c r="P240" s="11">
        <v>-0.25</v>
      </c>
      <c r="Q240" s="11">
        <v>1</v>
      </c>
      <c r="R240" s="11">
        <v>4.3480300457564933</v>
      </c>
    </row>
    <row r="241" spans="15:18" ht="13.5" customHeight="1" x14ac:dyDescent="0.2">
      <c r="O241" s="11">
        <v>5.7750000000000004</v>
      </c>
      <c r="P241" s="11">
        <v>-0.22499999999999964</v>
      </c>
      <c r="Q241" s="11">
        <v>1</v>
      </c>
      <c r="R241" s="11">
        <v>4.4002037395253879</v>
      </c>
    </row>
    <row r="242" spans="15:18" ht="13.5" customHeight="1" x14ac:dyDescent="0.2">
      <c r="O242" s="11">
        <v>5.8</v>
      </c>
      <c r="P242" s="11">
        <v>-0.20000000000000018</v>
      </c>
      <c r="Q242" s="11">
        <v>1</v>
      </c>
      <c r="R242" s="11">
        <v>4.4523271985977786</v>
      </c>
    </row>
    <row r="243" spans="15:18" ht="13.5" customHeight="1" x14ac:dyDescent="0.2">
      <c r="O243" s="11">
        <v>5.8250000000000002</v>
      </c>
      <c r="P243" s="11">
        <v>-0.17499999999999982</v>
      </c>
      <c r="Q243" s="11">
        <v>1</v>
      </c>
      <c r="R243" s="11">
        <v>4.5044060046066114</v>
      </c>
    </row>
    <row r="244" spans="15:18" ht="13.5" customHeight="1" x14ac:dyDescent="0.2">
      <c r="O244" s="11">
        <v>5.85</v>
      </c>
      <c r="P244" s="11">
        <v>-0.15000000000000036</v>
      </c>
      <c r="Q244" s="11">
        <v>1</v>
      </c>
      <c r="R244" s="11">
        <v>4.5564457391848325</v>
      </c>
    </row>
    <row r="245" spans="15:18" ht="13.5" customHeight="1" x14ac:dyDescent="0.2">
      <c r="O245" s="11">
        <v>5.875</v>
      </c>
      <c r="P245" s="11">
        <v>-0.125</v>
      </c>
      <c r="Q245" s="11">
        <v>1</v>
      </c>
      <c r="R245" s="11">
        <v>4.6084519839653861</v>
      </c>
    </row>
    <row r="246" spans="15:18" ht="13.5" customHeight="1" x14ac:dyDescent="0.2">
      <c r="O246" s="11">
        <v>5.9</v>
      </c>
      <c r="P246" s="11">
        <v>-9.9999999999999645E-2</v>
      </c>
      <c r="Q246" s="11">
        <v>1</v>
      </c>
      <c r="R246" s="11">
        <v>4.6604303205812156</v>
      </c>
    </row>
    <row r="247" spans="15:18" ht="13.5" customHeight="1" x14ac:dyDescent="0.2">
      <c r="O247" s="11">
        <v>5.9249999999999998</v>
      </c>
      <c r="P247" s="11">
        <v>-7.5000000000000178E-2</v>
      </c>
      <c r="Q247" s="11">
        <v>1</v>
      </c>
      <c r="R247" s="11">
        <v>4.7123863306652662</v>
      </c>
    </row>
    <row r="248" spans="15:18" ht="13.5" customHeight="1" x14ac:dyDescent="0.2">
      <c r="O248" s="11">
        <v>5.95</v>
      </c>
      <c r="P248" s="11">
        <v>-4.9999999999999822E-2</v>
      </c>
      <c r="Q248" s="11">
        <v>1</v>
      </c>
      <c r="R248" s="11">
        <v>4.7643255958504849</v>
      </c>
    </row>
    <row r="249" spans="15:18" ht="13.5" customHeight="1" x14ac:dyDescent="0.2">
      <c r="O249" s="11">
        <v>5.9749999999999996</v>
      </c>
      <c r="P249" s="11">
        <v>-2.5000000000000355E-2</v>
      </c>
      <c r="Q249" s="11">
        <v>1</v>
      </c>
      <c r="R249" s="11">
        <v>4.8162536977698114</v>
      </c>
    </row>
    <row r="250" spans="15:18" ht="13.5" customHeight="1" x14ac:dyDescent="0.2">
      <c r="O250" s="11">
        <v>5.9999998999999997</v>
      </c>
      <c r="P250" s="11">
        <v>-1.0000000028043132E-7</v>
      </c>
      <c r="Q250" s="11">
        <v>1</v>
      </c>
      <c r="R250" s="11">
        <v>4.8681760103698331</v>
      </c>
    </row>
    <row r="251" spans="15:18" ht="13.5" customHeight="1" x14ac:dyDescent="0.2">
      <c r="O251" s="11">
        <v>6</v>
      </c>
      <c r="P251" s="11">
        <v>0</v>
      </c>
      <c r="Q251" s="11">
        <v>1</v>
      </c>
      <c r="R251" s="11">
        <v>4.8681762180561945</v>
      </c>
    </row>
    <row r="252" spans="15:18" ht="13.5" customHeight="1" x14ac:dyDescent="0.2">
      <c r="O252" s="11">
        <v>6.0000001000000003</v>
      </c>
      <c r="P252" s="11">
        <v>0</v>
      </c>
      <c r="Q252" s="11">
        <v>0</v>
      </c>
      <c r="R252" s="11">
        <v>4.868176425742555</v>
      </c>
    </row>
    <row r="253" spans="15:18" ht="13.5" customHeight="1" x14ac:dyDescent="0.2">
      <c r="O253" s="11">
        <v>6.0250000000000004</v>
      </c>
      <c r="P253" s="11">
        <v>0</v>
      </c>
      <c r="Q253" s="11">
        <v>0</v>
      </c>
      <c r="R253" s="11">
        <v>4.9200978080704196</v>
      </c>
    </row>
    <row r="254" spans="15:18" ht="13.5" customHeight="1" x14ac:dyDescent="0.2">
      <c r="O254" s="11">
        <v>6.05</v>
      </c>
      <c r="P254" s="11">
        <v>0</v>
      </c>
      <c r="Q254" s="11">
        <v>0</v>
      </c>
      <c r="R254" s="11">
        <v>4.9720193980846457</v>
      </c>
    </row>
    <row r="255" spans="15:18" ht="13.5" customHeight="1" x14ac:dyDescent="0.2">
      <c r="O255" s="11">
        <v>6.0750000000000002</v>
      </c>
      <c r="P255" s="11">
        <v>0</v>
      </c>
      <c r="Q255" s="11">
        <v>0</v>
      </c>
      <c r="R255" s="11">
        <v>5.0239409880988699</v>
      </c>
    </row>
    <row r="256" spans="15:18" ht="13.5" customHeight="1" x14ac:dyDescent="0.2">
      <c r="O256" s="11">
        <v>6.1</v>
      </c>
      <c r="P256" s="11">
        <v>0</v>
      </c>
      <c r="Q256" s="11">
        <v>0</v>
      </c>
      <c r="R256" s="11">
        <v>5.075862578113095</v>
      </c>
    </row>
    <row r="257" spans="15:18" ht="13.5" customHeight="1" x14ac:dyDescent="0.2">
      <c r="O257" s="11">
        <v>6.125</v>
      </c>
      <c r="P257" s="11">
        <v>0</v>
      </c>
      <c r="Q257" s="11">
        <v>0</v>
      </c>
      <c r="R257" s="11">
        <v>5.1277841681273202</v>
      </c>
    </row>
    <row r="258" spans="15:18" ht="13.5" customHeight="1" x14ac:dyDescent="0.2">
      <c r="O258" s="11">
        <v>6.15</v>
      </c>
      <c r="P258" s="11">
        <v>0</v>
      </c>
      <c r="Q258" s="11">
        <v>0</v>
      </c>
      <c r="R258" s="11">
        <v>5.1797057581415462</v>
      </c>
    </row>
    <row r="259" spans="15:18" ht="13.5" customHeight="1" x14ac:dyDescent="0.2">
      <c r="O259" s="11">
        <v>6.1749999999999998</v>
      </c>
      <c r="P259" s="11">
        <v>0</v>
      </c>
      <c r="Q259" s="11">
        <v>0</v>
      </c>
      <c r="R259" s="11">
        <v>5.2316273481557722</v>
      </c>
    </row>
    <row r="260" spans="15:18" ht="13.5" customHeight="1" x14ac:dyDescent="0.2">
      <c r="O260" s="11">
        <v>6.2</v>
      </c>
      <c r="P260" s="11">
        <v>0</v>
      </c>
      <c r="Q260" s="11">
        <v>0</v>
      </c>
      <c r="R260" s="11">
        <v>5.2835489381699983</v>
      </c>
    </row>
    <row r="261" spans="15:18" ht="13.5" customHeight="1" x14ac:dyDescent="0.2">
      <c r="O261" s="11">
        <v>6.2249999999999996</v>
      </c>
      <c r="P261" s="11">
        <v>0</v>
      </c>
      <c r="Q261" s="11">
        <v>0</v>
      </c>
      <c r="R261" s="11">
        <v>5.3354705281842234</v>
      </c>
    </row>
    <row r="262" spans="15:18" ht="13.5" customHeight="1" x14ac:dyDescent="0.2">
      <c r="O262" s="11">
        <v>6.25</v>
      </c>
      <c r="P262" s="11">
        <v>0</v>
      </c>
      <c r="Q262" s="11">
        <v>0</v>
      </c>
      <c r="R262" s="11">
        <v>5.3873921181984485</v>
      </c>
    </row>
    <row r="263" spans="15:18" ht="13.5" customHeight="1" x14ac:dyDescent="0.2">
      <c r="O263" s="11">
        <v>6.2750000000000004</v>
      </c>
      <c r="P263" s="11">
        <v>0</v>
      </c>
      <c r="Q263" s="11">
        <v>0</v>
      </c>
      <c r="R263" s="11">
        <v>5.4393137082126728</v>
      </c>
    </row>
    <row r="264" spans="15:18" ht="13.5" customHeight="1" x14ac:dyDescent="0.2">
      <c r="O264" s="11">
        <v>6.3</v>
      </c>
      <c r="P264" s="11">
        <v>0</v>
      </c>
      <c r="Q264" s="11">
        <v>0</v>
      </c>
      <c r="R264" s="11">
        <v>5.4912352982268997</v>
      </c>
    </row>
    <row r="265" spans="15:18" ht="13.5" customHeight="1" x14ac:dyDescent="0.2">
      <c r="O265" s="11">
        <v>6.3250000000000002</v>
      </c>
      <c r="P265" s="11">
        <v>0</v>
      </c>
      <c r="Q265" s="11">
        <v>0</v>
      </c>
      <c r="R265" s="11">
        <v>5.5431568882411284</v>
      </c>
    </row>
    <row r="266" spans="15:18" ht="13.5" customHeight="1" x14ac:dyDescent="0.2">
      <c r="O266" s="11">
        <v>6.34</v>
      </c>
      <c r="P266" s="11">
        <v>0</v>
      </c>
      <c r="Q266" s="11">
        <v>0</v>
      </c>
      <c r="R266" s="11">
        <v>5.5743098422496615</v>
      </c>
    </row>
    <row r="267" spans="15:18" ht="13.5" customHeight="1" x14ac:dyDescent="0.2">
      <c r="O267" s="11">
        <v>6.34</v>
      </c>
      <c r="P267" s="11">
        <v>0</v>
      </c>
      <c r="Q267" s="11">
        <v>0</v>
      </c>
      <c r="R267" s="11" t="e">
        <v>#N/A</v>
      </c>
    </row>
    <row r="268" spans="15:18" ht="13.5" customHeight="1" x14ac:dyDescent="0.2">
      <c r="O268" s="11">
        <v>0</v>
      </c>
      <c r="P268" s="11">
        <v>0</v>
      </c>
      <c r="Q268" s="11">
        <v>0</v>
      </c>
      <c r="R268" s="11" t="e">
        <v>#N/A</v>
      </c>
    </row>
    <row r="269" spans="15:18" ht="13.5" customHeight="1" x14ac:dyDescent="0.2">
      <c r="O269" s="11">
        <v>0</v>
      </c>
      <c r="P269" s="11" t="e">
        <v>#N/A</v>
      </c>
      <c r="Q269" s="11">
        <v>4.4166666666666661</v>
      </c>
      <c r="R269" s="11" t="e">
        <v>#N/A</v>
      </c>
    </row>
  </sheetData>
  <phoneticPr fontId="2" type="noConversion"/>
  <conditionalFormatting sqref="O1:T1048576">
    <cfRule type="cellIs" dxfId="2" priority="5" operator="notEqual">
      <formula>""</formula>
    </cfRule>
  </conditionalFormatting>
  <conditionalFormatting sqref="C18:D20 B23:B25">
    <cfRule type="cellIs" dxfId="1" priority="3" operator="notBetween">
      <formula>0</formula>
      <formula>$B$3</formula>
    </cfRule>
  </conditionalFormatting>
  <conditionalFormatting sqref="B12:B14 C7:D9">
    <cfRule type="cellIs" dxfId="0" priority="2" operator="notBetween">
      <formula>0</formula>
      <formula>$B$2</formula>
    </cfRule>
  </conditionalFormatting>
  <pageMargins left="0.7" right="0.7" top="0.75" bottom="0.75" header="0.3" footer="0.3"/>
  <pageSetup paperSize="9" scale="86" orientation="portrait" r:id="rId1"/>
  <rowBreaks count="1" manualBreakCount="1">
    <brk id="65" max="1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Sheet1</vt:lpstr>
      <vt:lpstr>analysis_step</vt:lpstr>
      <vt:lpstr>cant_span_pt_load_data</vt:lpstr>
      <vt:lpstr>cant_span_UDL_data</vt:lpstr>
      <vt:lpstr>E_beam</vt:lpstr>
      <vt:lpstr>I_beam</vt:lpstr>
      <vt:lpstr>L_cant</vt:lpstr>
      <vt:lpstr>L_main</vt:lpstr>
      <vt:lpstr>main_span_pt_load_data</vt:lpstr>
      <vt:lpstr>main_span_UDL_data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Craig A Pijnenburg</dc:creator>
  <cp:lastModifiedBy>Craig A Pijnenburg </cp:lastModifiedBy>
  <cp:lastPrinted>2021-01-24T04:56:25Z</cp:lastPrinted>
  <dcterms:created xsi:type="dcterms:W3CDTF">2021-01-14T07:34:22Z</dcterms:created>
  <dcterms:modified xsi:type="dcterms:W3CDTF">2021-02-27T21:33:44Z</dcterms:modified>
</cp:coreProperties>
</file>