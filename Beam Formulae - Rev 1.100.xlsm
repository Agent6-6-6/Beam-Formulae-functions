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ropbox\00 -- Templates\01 -- Code Dev\Beam Formulae functions\"/>
    </mc:Choice>
  </mc:AlternateContent>
  <xr:revisionPtr revIDLastSave="0" documentId="13_ncr:1_{46A526A6-2884-423C-A561-234419DCE109}" xr6:coauthVersionLast="46" xr6:coauthVersionMax="46" xr10:uidLastSave="{00000000-0000-0000-0000-000000000000}"/>
  <bookViews>
    <workbookView xWindow="-120" yWindow="-120" windowWidth="57840" windowHeight="32190" xr2:uid="{2EE05537-B90E-46A7-8ED7-15A2A3292CC7}"/>
  </bookViews>
  <sheets>
    <sheet name="Sheet1" sheetId="1" r:id="rId1"/>
  </sheets>
  <functionGroups builtInGroupCount="19"/>
  <definedNames>
    <definedName name="_xlpm.L_beam" hidden="1" xlm="1">#NAME?</definedName>
    <definedName name="_xlpm.SEQ" hidden="1" xlm="1">#NAME?</definedName>
    <definedName name="_xlpm.X" hidden="1" xlm="1">#NAME?</definedName>
    <definedName name="_xlpm.Y" hidden="1" xlm="1">#NAME?</definedName>
    <definedName name="analysis_step">Sheet1!$C$3</definedName>
    <definedName name="cant_span_pt_load_data">Sheet1!$A$23:$B$25</definedName>
    <definedName name="cant_span_pt_moment_data">Sheet1!$D$23:$E$25</definedName>
    <definedName name="cant_span_UDL_data">Sheet1!$A$18:$D$20</definedName>
    <definedName name="DEFLECTION_list">INDEX(output,,4)</definedName>
    <definedName name="E_beam">Sheet1!$D$3</definedName>
    <definedName name="I_beam">Sheet1!$E$3</definedName>
    <definedName name="L_cant">Sheet1!$B$3</definedName>
    <definedName name="L_main">Sheet1!$A$3</definedName>
    <definedName name="LABELS_X">_xlfn.ANCHORARRAY(Sheet1!$S$3)</definedName>
    <definedName name="LABELS_Y">_xlfn.ANCHORARRAY(Sheet1!$T$3)</definedName>
    <definedName name="main_span_pt_load_data">Sheet1!$A$12:$B$14</definedName>
    <definedName name="main_span_pt_moment_data">Sheet1!$D$12:$E$14</definedName>
    <definedName name="main_span_UDL_data">Sheet1!$A$7:$D$9</definedName>
    <definedName name="MOMENT_list">INDEX(output,,2)</definedName>
    <definedName name="output">_xlfn.ANCHORARRAY(Sheet1!$O$3)</definedName>
    <definedName name="_xlnm.Print_Area" localSheetId="0">Sheet1!$A$1:$J$64</definedName>
    <definedName name="SHEAR_list">INDEX(output,,3)</definedName>
    <definedName name="x_list">INDEX(output,,1)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L39" i="1"/>
  <c r="L38" i="1"/>
  <c r="T3" i="1" a="1"/>
  <c r="T3" i="1" s="1"/>
  <c r="S3" i="1" a="1"/>
  <c r="S3" i="1" s="1"/>
  <c r="O3" i="1" a="1"/>
  <c r="O3" i="1" l="1"/>
  <c r="M51" i="1"/>
  <c r="L51" i="1" s="1" a="1"/>
  <c r="L51" i="1" s="1"/>
  <c r="M50" i="1"/>
  <c r="L50" i="1" s="1" a="1"/>
  <c r="L50" i="1" s="1"/>
  <c r="M42" i="1"/>
  <c r="L42" i="1" s="1" a="1"/>
  <c r="L42" i="1" s="1"/>
  <c r="M47" i="1"/>
  <c r="L47" i="1" s="1" a="1"/>
  <c r="L47" i="1" s="1"/>
  <c r="M46" i="1"/>
  <c r="L46" i="1" s="1" a="1"/>
  <c r="L46" i="1" s="1"/>
  <c r="M43" i="1"/>
  <c r="L43" i="1" s="1" a="1"/>
  <c r="L43" i="1" s="1"/>
  <c r="M56" i="1" l="1" a="1"/>
  <c r="M56" i="1" s="1"/>
  <c r="L56" i="1" s="1" a="1"/>
  <c r="L56" i="1" s="1"/>
  <c r="M53" i="1" a="1"/>
  <c r="M53" i="1" s="1"/>
  <c r="L53" i="1" s="1" a="1"/>
  <c r="L53" i="1" s="1"/>
  <c r="M54" i="1" a="1"/>
  <c r="M54" i="1" s="1"/>
  <c r="L54" i="1" s="1" a="1"/>
  <c r="L54" i="1" s="1"/>
  <c r="M55" i="1" a="1"/>
  <c r="M55" i="1" s="1"/>
  <c r="L55" i="1" s="1" a="1"/>
  <c r="L55" i="1" s="1"/>
  <c r="L52" i="1"/>
  <c r="M52" i="1" s="1" a="1"/>
  <c r="M5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<sst xmlns="http://schemas.openxmlformats.org/spreadsheetml/2006/main" count="55" uniqueCount="32">
  <si>
    <r>
      <t>w</t>
    </r>
    <r>
      <rPr>
        <vertAlign val="subscript"/>
        <sz val="8"/>
        <color theme="1"/>
        <rFont val="Calibri"/>
        <family val="2"/>
      </rPr>
      <t>1</t>
    </r>
  </si>
  <si>
    <r>
      <t>w</t>
    </r>
    <r>
      <rPr>
        <vertAlign val="subscript"/>
        <sz val="8"/>
        <color theme="1"/>
        <rFont val="Calibri"/>
        <family val="2"/>
      </rPr>
      <t>2</t>
    </r>
    <r>
      <rPr>
        <sz val="8"/>
        <color theme="1"/>
        <rFont val="Calibri"/>
        <family val="2"/>
      </rPr>
      <t/>
    </r>
  </si>
  <si>
    <r>
      <t>L</t>
    </r>
    <r>
      <rPr>
        <vertAlign val="subscript"/>
        <sz val="8"/>
        <color theme="1"/>
        <rFont val="Calibri"/>
        <family val="2"/>
      </rPr>
      <t>1</t>
    </r>
  </si>
  <si>
    <r>
      <t>L</t>
    </r>
    <r>
      <rPr>
        <vertAlign val="subscript"/>
        <sz val="8"/>
        <color theme="1"/>
        <rFont val="Calibri"/>
        <family val="2"/>
      </rPr>
      <t>2</t>
    </r>
  </si>
  <si>
    <r>
      <t>p</t>
    </r>
    <r>
      <rPr>
        <vertAlign val="subscript"/>
        <sz val="8"/>
        <color theme="1"/>
        <rFont val="Calibri"/>
        <family val="2"/>
      </rPr>
      <t>1</t>
    </r>
  </si>
  <si>
    <t>MAIN SPAN</t>
  </si>
  <si>
    <t>CANTILEVER SPAN</t>
  </si>
  <si>
    <r>
      <t>E</t>
    </r>
    <r>
      <rPr>
        <vertAlign val="subscript"/>
        <sz val="8"/>
        <color theme="1"/>
        <rFont val="Calibri"/>
        <family val="2"/>
      </rPr>
      <t>BEAM</t>
    </r>
  </si>
  <si>
    <r>
      <t>I</t>
    </r>
    <r>
      <rPr>
        <vertAlign val="subscript"/>
        <sz val="8"/>
        <color theme="1"/>
        <rFont val="Calibri"/>
        <family val="2"/>
      </rPr>
      <t>BEAM</t>
    </r>
  </si>
  <si>
    <t>X</t>
  </si>
  <si>
    <t>MOMENT</t>
  </si>
  <si>
    <t>SHEAR</t>
  </si>
  <si>
    <t>DEFLECTION</t>
  </si>
  <si>
    <t>LABELS</t>
  </si>
  <si>
    <r>
      <t>L</t>
    </r>
    <r>
      <rPr>
        <vertAlign val="subscript"/>
        <sz val="8"/>
        <color theme="1"/>
        <rFont val="Calibri"/>
        <family val="2"/>
      </rPr>
      <t>MAIN</t>
    </r>
  </si>
  <si>
    <r>
      <t>L</t>
    </r>
    <r>
      <rPr>
        <vertAlign val="subscript"/>
        <sz val="8"/>
        <color theme="1"/>
        <rFont val="Calibri"/>
        <family val="2"/>
      </rPr>
      <t>CANTILEVER</t>
    </r>
  </si>
  <si>
    <t>MAX +VE</t>
  </si>
  <si>
    <t>MAX -VE</t>
  </si>
  <si>
    <t>ANALYSIS STEP</t>
  </si>
  <si>
    <t>CANTILEVER TIP</t>
  </si>
  <si>
    <t>Y</t>
  </si>
  <si>
    <t>MAIN -VE</t>
  </si>
  <si>
    <t>MAIN+-VE</t>
  </si>
  <si>
    <t>CANT +VE</t>
  </si>
  <si>
    <t>CANT -VE</t>
  </si>
  <si>
    <t>MEMBER PROPERTIES</t>
  </si>
  <si>
    <t>RIGHT SUPPORT</t>
  </si>
  <si>
    <t>LEFT SUPPORT</t>
  </si>
  <si>
    <r>
      <t>m</t>
    </r>
    <r>
      <rPr>
        <vertAlign val="subscript"/>
        <sz val="8"/>
        <color theme="1"/>
        <rFont val="Calibri"/>
        <family val="2"/>
      </rPr>
      <t>1</t>
    </r>
  </si>
  <si>
    <t>-VE LOADS ACT DOWNWARDS</t>
  </si>
  <si>
    <t>APPLIED LOADS SIGN CONVENTION</t>
  </si>
  <si>
    <t>+VE MOMENTS ACT CLOCKWISE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</si>
</sst>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0000000"/>
    <numFmt numFmtId="165" formatCode="0.000000000000000000000000"/>
    <numFmt numFmtId="166" formatCode="0.000"/>
    <numFmt numFmtId="167" formatCode="0.00&quot; kNm&quot;"/>
    <numFmt numFmtId="168" formatCode="0.00&quot; kN&quot;"/>
    <numFmt numFmtId="169" formatCode="0.00&quot; mm&quot;"/>
    <numFmt numFmtId="170" formatCode="0.00&quot; kN/m&quot;"/>
    <numFmt numFmtId="171" formatCode="0.00&quot; m&quot;"/>
    <numFmt numFmtId="172" formatCode="0.000&quot; m&quot;"/>
    <numFmt numFmtId="173" formatCode="0&quot; MPa&quot;"/>
    <numFmt numFmtId="174" formatCode="0&quot; mm⁴&quot;"/>
  </numFmts>
  <fonts count="5" x14ac:knownFonts="1">
    <font>
      <sz val="8"/>
      <color theme="1"/>
      <name val="Calibri"/>
      <family val="2"/>
    </font>
    <font>
      <vertAlign val="subscript"/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2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171" fontId="3" fillId="2" borderId="1" xfId="0" applyNumberFormat="1" applyFont="1" applyFill="1" applyBorder="1" applyAlignment="1">
      <alignment horizontal="center" vertical="center" shrinkToFit="1"/>
    </xf>
    <xf numFmtId="172" fontId="3" fillId="2" borderId="1" xfId="0" applyNumberFormat="1" applyFont="1" applyFill="1" applyBorder="1" applyAlignment="1">
      <alignment horizontal="center" vertical="center" shrinkToFit="1"/>
    </xf>
    <xf numFmtId="173" fontId="3" fillId="2" borderId="1" xfId="0" applyNumberFormat="1" applyFont="1" applyFill="1" applyBorder="1" applyAlignment="1">
      <alignment horizontal="center" vertical="center"/>
    </xf>
    <xf numFmtId="174" fontId="3" fillId="2" borderId="1" xfId="0" applyNumberFormat="1" applyFon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 shrinkToFit="1"/>
    </xf>
    <xf numFmtId="168" fontId="3" fillId="2" borderId="1" xfId="0" applyNumberFormat="1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 shrinkToFit="1"/>
    </xf>
    <xf numFmtId="167" fontId="3" fillId="2" borderId="1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0" xfId="0" quotePrefix="1" applyFont="1" applyAlignment="1">
      <alignment horizontal="left" vertical="center"/>
    </xf>
  </cellXfs>
  <cellStyles count="1">
    <cellStyle name="Normal" xfId="0" builtinId="0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5294169501E-2"/>
          <c:w val="0.88598605264610841"/>
          <c:h val="0.87462994659477422"/>
        </c:manualLayout>
      </c:layout>
      <c:scatterChart>
        <c:scatterStyle val="lineMarker"/>
        <c:varyColors val="0"/>
        <c:ser>
          <c:idx val="0"/>
          <c:order val="0"/>
          <c:tx>
            <c:v>MOMENT</c:v>
          </c:tx>
          <c:marker>
            <c:symbol val="none"/>
          </c:marker>
          <c:errBars>
            <c:errDir val="x"/>
            <c:errBarType val="both"/>
            <c:errValType val="percentage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prstDash val="solid"/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56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1.6699998999999999</c:v>
                </c:pt>
                <c:pt idx="71">
                  <c:v>1.6700001</c:v>
                </c:pt>
                <c:pt idx="72">
                  <c:v>1.675</c:v>
                </c:pt>
                <c:pt idx="73">
                  <c:v>1.7</c:v>
                </c:pt>
                <c:pt idx="74">
                  <c:v>1.7250000000000001</c:v>
                </c:pt>
                <c:pt idx="75">
                  <c:v>1.75</c:v>
                </c:pt>
                <c:pt idx="76">
                  <c:v>1.7749999999999999</c:v>
                </c:pt>
                <c:pt idx="77">
                  <c:v>1.8</c:v>
                </c:pt>
                <c:pt idx="78">
                  <c:v>1.825</c:v>
                </c:pt>
                <c:pt idx="79">
                  <c:v>1.85</c:v>
                </c:pt>
                <c:pt idx="80">
                  <c:v>1.875</c:v>
                </c:pt>
                <c:pt idx="81">
                  <c:v>1.9</c:v>
                </c:pt>
                <c:pt idx="82">
                  <c:v>1.925</c:v>
                </c:pt>
                <c:pt idx="83">
                  <c:v>1.95</c:v>
                </c:pt>
                <c:pt idx="84">
                  <c:v>1.9750000000000001</c:v>
                </c:pt>
                <c:pt idx="85">
                  <c:v>2</c:v>
                </c:pt>
                <c:pt idx="86">
                  <c:v>2.0249999999999999</c:v>
                </c:pt>
                <c:pt idx="87">
                  <c:v>2.0499999999999998</c:v>
                </c:pt>
                <c:pt idx="88">
                  <c:v>2.0750000000000002</c:v>
                </c:pt>
                <c:pt idx="89">
                  <c:v>2.1</c:v>
                </c:pt>
                <c:pt idx="90">
                  <c:v>2.125</c:v>
                </c:pt>
                <c:pt idx="91">
                  <c:v>2.15</c:v>
                </c:pt>
                <c:pt idx="92">
                  <c:v>2.1749999999999998</c:v>
                </c:pt>
                <c:pt idx="93">
                  <c:v>2.2000000000000002</c:v>
                </c:pt>
                <c:pt idx="94">
                  <c:v>2.2250000000000001</c:v>
                </c:pt>
                <c:pt idx="95">
                  <c:v>2.25</c:v>
                </c:pt>
                <c:pt idx="96">
                  <c:v>2.2749999999999999</c:v>
                </c:pt>
                <c:pt idx="97">
                  <c:v>2.2999999999999998</c:v>
                </c:pt>
                <c:pt idx="98">
                  <c:v>2.3250000000000002</c:v>
                </c:pt>
                <c:pt idx="99">
                  <c:v>2.35</c:v>
                </c:pt>
                <c:pt idx="100">
                  <c:v>2.375</c:v>
                </c:pt>
                <c:pt idx="101">
                  <c:v>2.4</c:v>
                </c:pt>
                <c:pt idx="102">
                  <c:v>2.4249999999999998</c:v>
                </c:pt>
                <c:pt idx="103">
                  <c:v>2.4500000000000002</c:v>
                </c:pt>
                <c:pt idx="104">
                  <c:v>2.4750000000000001</c:v>
                </c:pt>
                <c:pt idx="105">
                  <c:v>2.5</c:v>
                </c:pt>
                <c:pt idx="106">
                  <c:v>2.5249999999999999</c:v>
                </c:pt>
                <c:pt idx="107">
                  <c:v>2.5499999999999998</c:v>
                </c:pt>
                <c:pt idx="108">
                  <c:v>2.5750000000000002</c:v>
                </c:pt>
                <c:pt idx="109">
                  <c:v>2.6</c:v>
                </c:pt>
                <c:pt idx="110">
                  <c:v>2.625</c:v>
                </c:pt>
                <c:pt idx="111">
                  <c:v>2.65</c:v>
                </c:pt>
                <c:pt idx="112">
                  <c:v>2.6749999999999998</c:v>
                </c:pt>
                <c:pt idx="113">
                  <c:v>2.7</c:v>
                </c:pt>
                <c:pt idx="114">
                  <c:v>2.7250000000000001</c:v>
                </c:pt>
                <c:pt idx="115">
                  <c:v>2.75</c:v>
                </c:pt>
                <c:pt idx="116">
                  <c:v>2.7749999999999999</c:v>
                </c:pt>
                <c:pt idx="117">
                  <c:v>2.8</c:v>
                </c:pt>
                <c:pt idx="118">
                  <c:v>2.8250000000000002</c:v>
                </c:pt>
                <c:pt idx="119">
                  <c:v>2.85</c:v>
                </c:pt>
                <c:pt idx="120">
                  <c:v>2.875</c:v>
                </c:pt>
                <c:pt idx="121">
                  <c:v>2.9</c:v>
                </c:pt>
                <c:pt idx="122">
                  <c:v>2.9249999999999998</c:v>
                </c:pt>
                <c:pt idx="123">
                  <c:v>2.95</c:v>
                </c:pt>
                <c:pt idx="124">
                  <c:v>2.9750000000000001</c:v>
                </c:pt>
                <c:pt idx="125">
                  <c:v>3</c:v>
                </c:pt>
                <c:pt idx="126">
                  <c:v>3.0249999999999999</c:v>
                </c:pt>
                <c:pt idx="127">
                  <c:v>3.05</c:v>
                </c:pt>
                <c:pt idx="128">
                  <c:v>3.0750000000000002</c:v>
                </c:pt>
                <c:pt idx="129">
                  <c:v>3.1</c:v>
                </c:pt>
                <c:pt idx="130">
                  <c:v>3.125</c:v>
                </c:pt>
                <c:pt idx="131">
                  <c:v>3.15</c:v>
                </c:pt>
                <c:pt idx="132">
                  <c:v>3.1749999999999998</c:v>
                </c:pt>
                <c:pt idx="133">
                  <c:v>3.2</c:v>
                </c:pt>
                <c:pt idx="134">
                  <c:v>3.2250000000000001</c:v>
                </c:pt>
                <c:pt idx="135">
                  <c:v>3.25</c:v>
                </c:pt>
                <c:pt idx="136">
                  <c:v>3.2749999999999999</c:v>
                </c:pt>
                <c:pt idx="137">
                  <c:v>3.3</c:v>
                </c:pt>
                <c:pt idx="138">
                  <c:v>3.3250000000000002</c:v>
                </c:pt>
                <c:pt idx="139">
                  <c:v>3.3299999000000002</c:v>
                </c:pt>
                <c:pt idx="140">
                  <c:v>3.3300000999999999</c:v>
                </c:pt>
                <c:pt idx="141">
                  <c:v>3.35</c:v>
                </c:pt>
                <c:pt idx="142">
                  <c:v>3.375</c:v>
                </c:pt>
                <c:pt idx="143">
                  <c:v>3.4</c:v>
                </c:pt>
                <c:pt idx="144">
                  <c:v>3.4249999999999998</c:v>
                </c:pt>
                <c:pt idx="145">
                  <c:v>3.45</c:v>
                </c:pt>
                <c:pt idx="146">
                  <c:v>3.4750000000000001</c:v>
                </c:pt>
                <c:pt idx="147">
                  <c:v>3.5</c:v>
                </c:pt>
                <c:pt idx="148">
                  <c:v>3.5249999999999999</c:v>
                </c:pt>
                <c:pt idx="149">
                  <c:v>3.55</c:v>
                </c:pt>
                <c:pt idx="150">
                  <c:v>3.5750000000000002</c:v>
                </c:pt>
                <c:pt idx="151">
                  <c:v>3.6</c:v>
                </c:pt>
                <c:pt idx="152">
                  <c:v>3.625</c:v>
                </c:pt>
                <c:pt idx="153">
                  <c:v>3.65</c:v>
                </c:pt>
                <c:pt idx="154">
                  <c:v>3.6749999999999998</c:v>
                </c:pt>
                <c:pt idx="155">
                  <c:v>3.7</c:v>
                </c:pt>
                <c:pt idx="156">
                  <c:v>3.7250000000000001</c:v>
                </c:pt>
                <c:pt idx="157">
                  <c:v>3.75</c:v>
                </c:pt>
                <c:pt idx="158">
                  <c:v>3.7749999999999999</c:v>
                </c:pt>
                <c:pt idx="159">
                  <c:v>3.8</c:v>
                </c:pt>
                <c:pt idx="160">
                  <c:v>3.8250000000000002</c:v>
                </c:pt>
                <c:pt idx="161">
                  <c:v>3.85</c:v>
                </c:pt>
                <c:pt idx="162">
                  <c:v>3.875</c:v>
                </c:pt>
                <c:pt idx="163">
                  <c:v>3.9</c:v>
                </c:pt>
                <c:pt idx="164">
                  <c:v>3.9249999999999998</c:v>
                </c:pt>
                <c:pt idx="165">
                  <c:v>3.95</c:v>
                </c:pt>
                <c:pt idx="166">
                  <c:v>3.9750000000000001</c:v>
                </c:pt>
                <c:pt idx="167">
                  <c:v>4</c:v>
                </c:pt>
                <c:pt idx="168">
                  <c:v>4.0250000000000004</c:v>
                </c:pt>
                <c:pt idx="169">
                  <c:v>4.05</c:v>
                </c:pt>
                <c:pt idx="170">
                  <c:v>4.0750000000000002</c:v>
                </c:pt>
                <c:pt idx="171">
                  <c:v>4.0999999999999996</c:v>
                </c:pt>
                <c:pt idx="172">
                  <c:v>4.125</c:v>
                </c:pt>
                <c:pt idx="173">
                  <c:v>4.1500000000000004</c:v>
                </c:pt>
                <c:pt idx="174">
                  <c:v>4.1749999999999998</c:v>
                </c:pt>
                <c:pt idx="175">
                  <c:v>4.2</c:v>
                </c:pt>
                <c:pt idx="176">
                  <c:v>4.2249999999999996</c:v>
                </c:pt>
                <c:pt idx="177">
                  <c:v>4.25</c:v>
                </c:pt>
                <c:pt idx="178">
                  <c:v>4.2750000000000004</c:v>
                </c:pt>
                <c:pt idx="179">
                  <c:v>4.3</c:v>
                </c:pt>
                <c:pt idx="180">
                  <c:v>4.3250000000000002</c:v>
                </c:pt>
                <c:pt idx="181">
                  <c:v>4.3499999999999996</c:v>
                </c:pt>
                <c:pt idx="182">
                  <c:v>4.375</c:v>
                </c:pt>
                <c:pt idx="183">
                  <c:v>4.4000000000000004</c:v>
                </c:pt>
                <c:pt idx="184">
                  <c:v>4.4249999999999998</c:v>
                </c:pt>
                <c:pt idx="185">
                  <c:v>4.45</c:v>
                </c:pt>
                <c:pt idx="186">
                  <c:v>4.4749999999999996</c:v>
                </c:pt>
                <c:pt idx="187">
                  <c:v>4.5</c:v>
                </c:pt>
                <c:pt idx="188">
                  <c:v>4.5250000000000004</c:v>
                </c:pt>
                <c:pt idx="189">
                  <c:v>4.55</c:v>
                </c:pt>
                <c:pt idx="190">
                  <c:v>4.5750000000000002</c:v>
                </c:pt>
                <c:pt idx="191">
                  <c:v>4.5999999999999996</c:v>
                </c:pt>
                <c:pt idx="192">
                  <c:v>4.625</c:v>
                </c:pt>
                <c:pt idx="193">
                  <c:v>4.6500000000000004</c:v>
                </c:pt>
                <c:pt idx="194">
                  <c:v>4.6749999999999998</c:v>
                </c:pt>
                <c:pt idx="195">
                  <c:v>4.7</c:v>
                </c:pt>
                <c:pt idx="196">
                  <c:v>4.7249999999999996</c:v>
                </c:pt>
                <c:pt idx="197">
                  <c:v>4.75</c:v>
                </c:pt>
                <c:pt idx="198">
                  <c:v>4.7750000000000004</c:v>
                </c:pt>
                <c:pt idx="199">
                  <c:v>4.8</c:v>
                </c:pt>
                <c:pt idx="200">
                  <c:v>4.8250000000000002</c:v>
                </c:pt>
                <c:pt idx="201">
                  <c:v>4.8499999999999996</c:v>
                </c:pt>
                <c:pt idx="202">
                  <c:v>4.875</c:v>
                </c:pt>
                <c:pt idx="203">
                  <c:v>4.9000000000000004</c:v>
                </c:pt>
                <c:pt idx="204">
                  <c:v>4.9249999999999998</c:v>
                </c:pt>
                <c:pt idx="205">
                  <c:v>4.95</c:v>
                </c:pt>
                <c:pt idx="206">
                  <c:v>4.9749999999999996</c:v>
                </c:pt>
                <c:pt idx="207">
                  <c:v>4.9999998999999997</c:v>
                </c:pt>
                <c:pt idx="208">
                  <c:v>5</c:v>
                </c:pt>
                <c:pt idx="209">
                  <c:v>5.0000001000000003</c:v>
                </c:pt>
                <c:pt idx="210">
                  <c:v>5.0250000000000004</c:v>
                </c:pt>
                <c:pt idx="211">
                  <c:v>5.05</c:v>
                </c:pt>
                <c:pt idx="212">
                  <c:v>5.0750000000000002</c:v>
                </c:pt>
                <c:pt idx="213">
                  <c:v>5.0999999999999996</c:v>
                </c:pt>
                <c:pt idx="214">
                  <c:v>5.125</c:v>
                </c:pt>
                <c:pt idx="215">
                  <c:v>5.15</c:v>
                </c:pt>
                <c:pt idx="216">
                  <c:v>5.1749999999999998</c:v>
                </c:pt>
                <c:pt idx="217">
                  <c:v>5.2</c:v>
                </c:pt>
                <c:pt idx="218">
                  <c:v>5.2249999999999996</c:v>
                </c:pt>
                <c:pt idx="219">
                  <c:v>5.25</c:v>
                </c:pt>
                <c:pt idx="220">
                  <c:v>5.2750000000000004</c:v>
                </c:pt>
                <c:pt idx="221">
                  <c:v>5.3</c:v>
                </c:pt>
                <c:pt idx="222">
                  <c:v>5.3250000000000002</c:v>
                </c:pt>
                <c:pt idx="223">
                  <c:v>5.35</c:v>
                </c:pt>
                <c:pt idx="224">
                  <c:v>5.375</c:v>
                </c:pt>
                <c:pt idx="225">
                  <c:v>5.4</c:v>
                </c:pt>
                <c:pt idx="226">
                  <c:v>5.4249999999999998</c:v>
                </c:pt>
                <c:pt idx="227">
                  <c:v>5.45</c:v>
                </c:pt>
                <c:pt idx="228">
                  <c:v>5.4749999999999996</c:v>
                </c:pt>
                <c:pt idx="229">
                  <c:v>5.4999998999999997</c:v>
                </c:pt>
                <c:pt idx="230">
                  <c:v>5.5</c:v>
                </c:pt>
                <c:pt idx="231">
                  <c:v>5.5000001000000003</c:v>
                </c:pt>
                <c:pt idx="232">
                  <c:v>5.5250000000000004</c:v>
                </c:pt>
                <c:pt idx="233">
                  <c:v>5.55</c:v>
                </c:pt>
                <c:pt idx="234">
                  <c:v>5.5750000000000002</c:v>
                </c:pt>
                <c:pt idx="235">
                  <c:v>5.6</c:v>
                </c:pt>
                <c:pt idx="236">
                  <c:v>5.625</c:v>
                </c:pt>
                <c:pt idx="237">
                  <c:v>5.65</c:v>
                </c:pt>
                <c:pt idx="238">
                  <c:v>5.6749999999999998</c:v>
                </c:pt>
                <c:pt idx="239">
                  <c:v>5.7</c:v>
                </c:pt>
                <c:pt idx="240">
                  <c:v>5.7249999999999996</c:v>
                </c:pt>
                <c:pt idx="241">
                  <c:v>5.75</c:v>
                </c:pt>
                <c:pt idx="242">
                  <c:v>5.7750000000000004</c:v>
                </c:pt>
                <c:pt idx="243">
                  <c:v>5.8</c:v>
                </c:pt>
                <c:pt idx="244">
                  <c:v>5.8250000000000002</c:v>
                </c:pt>
                <c:pt idx="245">
                  <c:v>5.85</c:v>
                </c:pt>
                <c:pt idx="246">
                  <c:v>5.875</c:v>
                </c:pt>
                <c:pt idx="247">
                  <c:v>5.9</c:v>
                </c:pt>
                <c:pt idx="248">
                  <c:v>5.9249999999999998</c:v>
                </c:pt>
                <c:pt idx="249">
                  <c:v>5.95</c:v>
                </c:pt>
                <c:pt idx="250">
                  <c:v>5.9749999999999996</c:v>
                </c:pt>
                <c:pt idx="251">
                  <c:v>5.9999998999999997</c:v>
                </c:pt>
                <c:pt idx="252">
                  <c:v>6</c:v>
                </c:pt>
                <c:pt idx="253">
                  <c:v>6</c:v>
                </c:pt>
                <c:pt idx="254">
                  <c:v>0</c:v>
                </c:pt>
                <c:pt idx="255">
                  <c:v>0</c:v>
                </c:pt>
              </c:numCache>
            </c:numRef>
          </c:xVal>
          <c:yVal>
            <c:numRef>
              <c:f>[0]!MOMENT_list</c:f>
              <c:numCache>
                <c:formatCode>0.000</c:formatCode>
                <c:ptCount val="256"/>
                <c:pt idx="0">
                  <c:v>0</c:v>
                </c:pt>
                <c:pt idx="1">
                  <c:v>1.2404166516666668E-6</c:v>
                </c:pt>
                <c:pt idx="2">
                  <c:v>0.30916666666666665</c:v>
                </c:pt>
                <c:pt idx="3">
                  <c:v>0.61645833333333333</c:v>
                </c:pt>
                <c:pt idx="4">
                  <c:v>0.92187500000000011</c:v>
                </c:pt>
                <c:pt idx="5">
                  <c:v>1.2254166666666666</c:v>
                </c:pt>
                <c:pt idx="6">
                  <c:v>1.5270833333333333</c:v>
                </c:pt>
                <c:pt idx="7">
                  <c:v>1.826875</c:v>
                </c:pt>
                <c:pt idx="8">
                  <c:v>2.1247916666666664</c:v>
                </c:pt>
                <c:pt idx="9">
                  <c:v>2.4208333333333334</c:v>
                </c:pt>
                <c:pt idx="10">
                  <c:v>2.7150000000000003</c:v>
                </c:pt>
                <c:pt idx="11">
                  <c:v>3.0072916666666667</c:v>
                </c:pt>
                <c:pt idx="12">
                  <c:v>3.2977083333333339</c:v>
                </c:pt>
                <c:pt idx="13">
                  <c:v>3.5862500000000002</c:v>
                </c:pt>
                <c:pt idx="14">
                  <c:v>3.8729166666666668</c:v>
                </c:pt>
                <c:pt idx="15">
                  <c:v>4.1577083333333329</c:v>
                </c:pt>
                <c:pt idx="16">
                  <c:v>4.4406250000000007</c:v>
                </c:pt>
                <c:pt idx="17">
                  <c:v>4.7216666666666667</c:v>
                </c:pt>
                <c:pt idx="18">
                  <c:v>5.0008333333333326</c:v>
                </c:pt>
                <c:pt idx="19">
                  <c:v>5.2781250000000002</c:v>
                </c:pt>
                <c:pt idx="20">
                  <c:v>5.5535416666666668</c:v>
                </c:pt>
                <c:pt idx="21">
                  <c:v>5.8270833333333334</c:v>
                </c:pt>
                <c:pt idx="22">
                  <c:v>6.0987499999999999</c:v>
                </c:pt>
                <c:pt idx="23">
                  <c:v>6.3685416666666681</c:v>
                </c:pt>
                <c:pt idx="24">
                  <c:v>6.6364583333333345</c:v>
                </c:pt>
                <c:pt idx="25">
                  <c:v>6.9025000000000007</c:v>
                </c:pt>
                <c:pt idx="26">
                  <c:v>7.166666666666667</c:v>
                </c:pt>
                <c:pt idx="27">
                  <c:v>7.428958333333334</c:v>
                </c:pt>
                <c:pt idx="28">
                  <c:v>7.6893750000000001</c:v>
                </c:pt>
                <c:pt idx="29">
                  <c:v>7.9479166666666652</c:v>
                </c:pt>
                <c:pt idx="30">
                  <c:v>8.204583333333332</c:v>
                </c:pt>
                <c:pt idx="31">
                  <c:v>8.4593750000000014</c:v>
                </c:pt>
                <c:pt idx="32">
                  <c:v>8.7122916666666654</c:v>
                </c:pt>
                <c:pt idx="33">
                  <c:v>8.9633333333333329</c:v>
                </c:pt>
                <c:pt idx="34">
                  <c:v>9.2124999999999986</c:v>
                </c:pt>
                <c:pt idx="35">
                  <c:v>9.4597916666666659</c:v>
                </c:pt>
                <c:pt idx="36">
                  <c:v>9.7052083333333368</c:v>
                </c:pt>
                <c:pt idx="37">
                  <c:v>9.9487500000000022</c:v>
                </c:pt>
                <c:pt idx="38">
                  <c:v>10.190416666666668</c:v>
                </c:pt>
                <c:pt idx="39">
                  <c:v>10.430208333333333</c:v>
                </c:pt>
                <c:pt idx="40">
                  <c:v>10.668125</c:v>
                </c:pt>
                <c:pt idx="41">
                  <c:v>10.904165726249985</c:v>
                </c:pt>
                <c:pt idx="42">
                  <c:v>10.904166666666667</c:v>
                </c:pt>
                <c:pt idx="43">
                  <c:v>13.40416760708332</c:v>
                </c:pt>
                <c:pt idx="44">
                  <c:v>13.638331250000002</c:v>
                </c:pt>
                <c:pt idx="45">
                  <c:v>13.870608333333333</c:v>
                </c:pt>
                <c:pt idx="46">
                  <c:v>14.100985416666665</c:v>
                </c:pt>
                <c:pt idx="47">
                  <c:v>14.329450000000001</c:v>
                </c:pt>
                <c:pt idx="48">
                  <c:v>14.555989583333332</c:v>
                </c:pt>
                <c:pt idx="49">
                  <c:v>14.780591666666668</c:v>
                </c:pt>
                <c:pt idx="50">
                  <c:v>15.003243750000001</c:v>
                </c:pt>
                <c:pt idx="51">
                  <c:v>15.223933333333333</c:v>
                </c:pt>
                <c:pt idx="52">
                  <c:v>15.442647916666669</c:v>
                </c:pt>
                <c:pt idx="53">
                  <c:v>15.659375000000001</c:v>
                </c:pt>
                <c:pt idx="54">
                  <c:v>15.874102083333332</c:v>
                </c:pt>
                <c:pt idx="55">
                  <c:v>16.086816666666667</c:v>
                </c:pt>
                <c:pt idx="56">
                  <c:v>16.297506249999998</c:v>
                </c:pt>
                <c:pt idx="57">
                  <c:v>16.506158333333335</c:v>
                </c:pt>
                <c:pt idx="58">
                  <c:v>16.712760416666665</c:v>
                </c:pt>
                <c:pt idx="59">
                  <c:v>16.917299999999994</c:v>
                </c:pt>
                <c:pt idx="60">
                  <c:v>17.119764583333339</c:v>
                </c:pt>
                <c:pt idx="61">
                  <c:v>17.320141666666665</c:v>
                </c:pt>
                <c:pt idx="62">
                  <c:v>17.518418750000002</c:v>
                </c:pt>
                <c:pt idx="63">
                  <c:v>17.714583333333337</c:v>
                </c:pt>
                <c:pt idx="64">
                  <c:v>17.908622916666666</c:v>
                </c:pt>
                <c:pt idx="65">
                  <c:v>18.100524999999998</c:v>
                </c:pt>
                <c:pt idx="66">
                  <c:v>18.290277083333336</c:v>
                </c:pt>
                <c:pt idx="67">
                  <c:v>18.477866666666667</c:v>
                </c:pt>
                <c:pt idx="68">
                  <c:v>18.663281249999997</c:v>
                </c:pt>
                <c:pt idx="69">
                  <c:v>18.846508333333333</c:v>
                </c:pt>
                <c:pt idx="70">
                  <c:v>18.991505878539314</c:v>
                </c:pt>
                <c:pt idx="71">
                  <c:v>18.991506921460651</c:v>
                </c:pt>
                <c:pt idx="72">
                  <c:v>19.007535416666666</c:v>
                </c:pt>
                <c:pt idx="73">
                  <c:v>19.086349999999996</c:v>
                </c:pt>
                <c:pt idx="74">
                  <c:v>19.162939583333337</c:v>
                </c:pt>
                <c:pt idx="75">
                  <c:v>19.237291666666671</c:v>
                </c:pt>
                <c:pt idx="76">
                  <c:v>19.309393750000002</c:v>
                </c:pt>
                <c:pt idx="77">
                  <c:v>19.379233333333335</c:v>
                </c:pt>
                <c:pt idx="78">
                  <c:v>19.446797916666668</c:v>
                </c:pt>
                <c:pt idx="79">
                  <c:v>19.512074999999999</c:v>
                </c:pt>
                <c:pt idx="80">
                  <c:v>19.575052083333333</c:v>
                </c:pt>
                <c:pt idx="81">
                  <c:v>19.635716666666667</c:v>
                </c:pt>
                <c:pt idx="82">
                  <c:v>19.694056249999999</c:v>
                </c:pt>
                <c:pt idx="83">
                  <c:v>19.750058333333328</c:v>
                </c:pt>
                <c:pt idx="84">
                  <c:v>19.803710416666664</c:v>
                </c:pt>
                <c:pt idx="85">
                  <c:v>19.855</c:v>
                </c:pt>
                <c:pt idx="86">
                  <c:v>19.903914583333336</c:v>
                </c:pt>
                <c:pt idx="87">
                  <c:v>19.95044166666667</c:v>
                </c:pt>
                <c:pt idx="88">
                  <c:v>19.994568750000003</c:v>
                </c:pt>
                <c:pt idx="89">
                  <c:v>20.03628333333333</c:v>
                </c:pt>
                <c:pt idx="90">
                  <c:v>20.075572916666669</c:v>
                </c:pt>
                <c:pt idx="91">
                  <c:v>20.112424999999998</c:v>
                </c:pt>
                <c:pt idx="92">
                  <c:v>20.146827083333331</c:v>
                </c:pt>
                <c:pt idx="93">
                  <c:v>20.178766666666668</c:v>
                </c:pt>
                <c:pt idx="94">
                  <c:v>20.208231250000001</c:v>
                </c:pt>
                <c:pt idx="95">
                  <c:v>20.235208333333329</c:v>
                </c:pt>
                <c:pt idx="96">
                  <c:v>20.259685416666667</c:v>
                </c:pt>
                <c:pt idx="97">
                  <c:v>20.281649999999999</c:v>
                </c:pt>
                <c:pt idx="98">
                  <c:v>20.301089583333329</c:v>
                </c:pt>
                <c:pt idx="99">
                  <c:v>20.317991666666668</c:v>
                </c:pt>
                <c:pt idx="100">
                  <c:v>20.332343750000003</c:v>
                </c:pt>
                <c:pt idx="101">
                  <c:v>20.344133333333335</c:v>
                </c:pt>
                <c:pt idx="102">
                  <c:v>20.353347916666667</c:v>
                </c:pt>
                <c:pt idx="103">
                  <c:v>20.359975000000002</c:v>
                </c:pt>
                <c:pt idx="104">
                  <c:v>20.364002083333332</c:v>
                </c:pt>
                <c:pt idx="105">
                  <c:v>20.365416666666668</c:v>
                </c:pt>
                <c:pt idx="106">
                  <c:v>20.364206250000002</c:v>
                </c:pt>
                <c:pt idx="107">
                  <c:v>20.360358333333334</c:v>
                </c:pt>
                <c:pt idx="108">
                  <c:v>20.353860416666667</c:v>
                </c:pt>
                <c:pt idx="109">
                  <c:v>20.3447</c:v>
                </c:pt>
                <c:pt idx="110">
                  <c:v>20.332864583333329</c:v>
                </c:pt>
                <c:pt idx="111">
                  <c:v>20.318341666666665</c:v>
                </c:pt>
                <c:pt idx="112">
                  <c:v>20.301118750000004</c:v>
                </c:pt>
                <c:pt idx="113">
                  <c:v>20.281183333333331</c:v>
                </c:pt>
                <c:pt idx="114">
                  <c:v>20.258522916666667</c:v>
                </c:pt>
                <c:pt idx="115">
                  <c:v>20.233125000000001</c:v>
                </c:pt>
                <c:pt idx="116">
                  <c:v>20.204977083333333</c:v>
                </c:pt>
                <c:pt idx="117">
                  <c:v>20.174066666666665</c:v>
                </c:pt>
                <c:pt idx="118">
                  <c:v>20.140381250000001</c:v>
                </c:pt>
                <c:pt idx="119">
                  <c:v>20.103908333333333</c:v>
                </c:pt>
                <c:pt idx="120">
                  <c:v>20.064635416666665</c:v>
                </c:pt>
                <c:pt idx="121">
                  <c:v>20.022550000000003</c:v>
                </c:pt>
                <c:pt idx="122">
                  <c:v>19.977639583333335</c:v>
                </c:pt>
                <c:pt idx="123">
                  <c:v>19.929891666666663</c:v>
                </c:pt>
                <c:pt idx="124">
                  <c:v>19.879293749999999</c:v>
                </c:pt>
                <c:pt idx="125">
                  <c:v>19.825833333333335</c:v>
                </c:pt>
                <c:pt idx="126">
                  <c:v>19.769497916666666</c:v>
                </c:pt>
                <c:pt idx="127">
                  <c:v>19.710275000000006</c:v>
                </c:pt>
                <c:pt idx="128">
                  <c:v>19.648152083333333</c:v>
                </c:pt>
                <c:pt idx="129">
                  <c:v>19.583116666666669</c:v>
                </c:pt>
                <c:pt idx="130">
                  <c:v>19.515156250000004</c:v>
                </c:pt>
                <c:pt idx="131">
                  <c:v>19.444258333333334</c:v>
                </c:pt>
                <c:pt idx="132">
                  <c:v>19.370410416666665</c:v>
                </c:pt>
                <c:pt idx="133">
                  <c:v>19.293599999999994</c:v>
                </c:pt>
                <c:pt idx="134">
                  <c:v>19.213814583333331</c:v>
                </c:pt>
                <c:pt idx="135">
                  <c:v>19.131041666666665</c:v>
                </c:pt>
                <c:pt idx="136">
                  <c:v>19.045268750000002</c:v>
                </c:pt>
                <c:pt idx="137">
                  <c:v>18.956483333333335</c:v>
                </c:pt>
                <c:pt idx="138">
                  <c:v>18.864672916666667</c:v>
                </c:pt>
                <c:pt idx="139">
                  <c:v>18.84594710907264</c:v>
                </c:pt>
                <c:pt idx="140">
                  <c:v>18.845945957593976</c:v>
                </c:pt>
                <c:pt idx="141">
                  <c:v>18.689824999999999</c:v>
                </c:pt>
                <c:pt idx="142">
                  <c:v>18.491927083333337</c:v>
                </c:pt>
                <c:pt idx="143">
                  <c:v>18.290966666666666</c:v>
                </c:pt>
                <c:pt idx="144">
                  <c:v>18.086931250000003</c:v>
                </c:pt>
                <c:pt idx="145">
                  <c:v>17.879808333333333</c:v>
                </c:pt>
                <c:pt idx="146">
                  <c:v>17.669585416666671</c:v>
                </c:pt>
                <c:pt idx="147">
                  <c:v>17.456249999999997</c:v>
                </c:pt>
                <c:pt idx="148">
                  <c:v>17.239797743055558</c:v>
                </c:pt>
                <c:pt idx="149">
                  <c:v>17.020256944444448</c:v>
                </c:pt>
                <c:pt idx="150">
                  <c:v>16.797664062499997</c:v>
                </c:pt>
                <c:pt idx="151">
                  <c:v>16.572055555555554</c:v>
                </c:pt>
                <c:pt idx="152">
                  <c:v>16.343467881944441</c:v>
                </c:pt>
                <c:pt idx="153">
                  <c:v>16.1119375</c:v>
                </c:pt>
                <c:pt idx="154">
                  <c:v>15.877500868055559</c:v>
                </c:pt>
                <c:pt idx="155">
                  <c:v>15.640194444444443</c:v>
                </c:pt>
                <c:pt idx="156">
                  <c:v>15.400054687499999</c:v>
                </c:pt>
                <c:pt idx="157">
                  <c:v>15.157118055555554</c:v>
                </c:pt>
                <c:pt idx="158">
                  <c:v>14.911421006944444</c:v>
                </c:pt>
                <c:pt idx="159">
                  <c:v>14.663</c:v>
                </c:pt>
                <c:pt idx="160">
                  <c:v>14.411891493055553</c:v>
                </c:pt>
                <c:pt idx="161">
                  <c:v>14.158131944444444</c:v>
                </c:pt>
                <c:pt idx="162">
                  <c:v>13.901757812500001</c:v>
                </c:pt>
                <c:pt idx="163">
                  <c:v>13.642805555555555</c:v>
                </c:pt>
                <c:pt idx="164">
                  <c:v>13.381311631944445</c:v>
                </c:pt>
                <c:pt idx="165">
                  <c:v>13.117312499999997</c:v>
                </c:pt>
                <c:pt idx="166">
                  <c:v>12.850844618055552</c:v>
                </c:pt>
                <c:pt idx="167">
                  <c:v>12.581944444444444</c:v>
                </c:pt>
                <c:pt idx="168">
                  <c:v>12.310648437499996</c:v>
                </c:pt>
                <c:pt idx="169">
                  <c:v>12.036993055555557</c:v>
                </c:pt>
                <c:pt idx="170">
                  <c:v>11.761014756944441</c:v>
                </c:pt>
                <c:pt idx="171">
                  <c:v>11.482750000000003</c:v>
                </c:pt>
                <c:pt idx="172">
                  <c:v>11.202235243055556</c:v>
                </c:pt>
                <c:pt idx="173">
                  <c:v>10.919506944444443</c:v>
                </c:pt>
                <c:pt idx="174">
                  <c:v>10.634601562500002</c:v>
                </c:pt>
                <c:pt idx="175">
                  <c:v>10.347555555555553</c:v>
                </c:pt>
                <c:pt idx="176">
                  <c:v>10.058405381944446</c:v>
                </c:pt>
                <c:pt idx="177">
                  <c:v>9.7671874999999986</c:v>
                </c:pt>
                <c:pt idx="178">
                  <c:v>9.4739383680555527</c:v>
                </c:pt>
                <c:pt idx="179">
                  <c:v>9.1786944444444458</c:v>
                </c:pt>
                <c:pt idx="180">
                  <c:v>8.8814921874999957</c:v>
                </c:pt>
                <c:pt idx="181">
                  <c:v>8.582368055555559</c:v>
                </c:pt>
                <c:pt idx="182">
                  <c:v>8.2813585069444429</c:v>
                </c:pt>
                <c:pt idx="183">
                  <c:v>7.978499999999995</c:v>
                </c:pt>
                <c:pt idx="184">
                  <c:v>7.6738289930555563</c:v>
                </c:pt>
                <c:pt idx="185">
                  <c:v>7.3673819444444426</c:v>
                </c:pt>
                <c:pt idx="186">
                  <c:v>7.0591953125000044</c:v>
                </c:pt>
                <c:pt idx="187">
                  <c:v>6.7493055555555559</c:v>
                </c:pt>
                <c:pt idx="188">
                  <c:v>6.4377491319444404</c:v>
                </c:pt>
                <c:pt idx="189">
                  <c:v>6.1245625000000032</c:v>
                </c:pt>
                <c:pt idx="190">
                  <c:v>5.8097821180555531</c:v>
                </c:pt>
                <c:pt idx="191">
                  <c:v>5.4934444444444486</c:v>
                </c:pt>
                <c:pt idx="192">
                  <c:v>5.1755859374999993</c:v>
                </c:pt>
                <c:pt idx="193">
                  <c:v>4.8562430555555505</c:v>
                </c:pt>
                <c:pt idx="194">
                  <c:v>4.5354522569444473</c:v>
                </c:pt>
                <c:pt idx="195">
                  <c:v>4.2132499999999968</c:v>
                </c:pt>
                <c:pt idx="196">
                  <c:v>3.8896727430555593</c:v>
                </c:pt>
                <c:pt idx="197">
                  <c:v>3.5647569444444445</c:v>
                </c:pt>
                <c:pt idx="198">
                  <c:v>3.2385390624999943</c:v>
                </c:pt>
                <c:pt idx="199">
                  <c:v>2.9110555555555577</c:v>
                </c:pt>
                <c:pt idx="200">
                  <c:v>2.5823428819444416</c:v>
                </c:pt>
                <c:pt idx="201">
                  <c:v>2.2524375000000041</c:v>
                </c:pt>
                <c:pt idx="202">
                  <c:v>1.9213758680555555</c:v>
                </c:pt>
                <c:pt idx="203">
                  <c:v>1.5891944444444395</c:v>
                </c:pt>
                <c:pt idx="204">
                  <c:v>1.2559296875000012</c:v>
                </c:pt>
                <c:pt idx="205">
                  <c:v>0.92161805555555265</c:v>
                </c:pt>
                <c:pt idx="206">
                  <c:v>0.58629600694444939</c:v>
                </c:pt>
                <c:pt idx="207">
                  <c:v>0.25000134708332844</c:v>
                </c:pt>
                <c:pt idx="208">
                  <c:v>0.25</c:v>
                </c:pt>
                <c:pt idx="209">
                  <c:v>0.25000042499999342</c:v>
                </c:pt>
                <c:pt idx="210">
                  <c:v>0.3557851562500014</c:v>
                </c:pt>
                <c:pt idx="211">
                  <c:v>0.46065624999999955</c:v>
                </c:pt>
                <c:pt idx="212">
                  <c:v>0.56463671875000077</c:v>
                </c:pt>
                <c:pt idx="213">
                  <c:v>0.66774999999999851</c:v>
                </c:pt>
                <c:pt idx="214">
                  <c:v>0.77001953125</c:v>
                </c:pt>
                <c:pt idx="215">
                  <c:v>0.87146875000000135</c:v>
                </c:pt>
                <c:pt idx="216">
                  <c:v>0.97212109374999933</c:v>
                </c:pt>
                <c:pt idx="217">
                  <c:v>1.0720000000000007</c:v>
                </c:pt>
                <c:pt idx="218">
                  <c:v>1.1711289062499985</c:v>
                </c:pt>
                <c:pt idx="219">
                  <c:v>1.26953125</c:v>
                </c:pt>
                <c:pt idx="220">
                  <c:v>1.3672304687500014</c:v>
                </c:pt>
                <c:pt idx="221">
                  <c:v>1.4642499999999994</c:v>
                </c:pt>
                <c:pt idx="222">
                  <c:v>1.5606132812500007</c:v>
                </c:pt>
                <c:pt idx="223">
                  <c:v>1.6563437499999987</c:v>
                </c:pt>
                <c:pt idx="224">
                  <c:v>1.75146484375</c:v>
                </c:pt>
                <c:pt idx="225">
                  <c:v>1.8460000000000014</c:v>
                </c:pt>
                <c:pt idx="226">
                  <c:v>1.9399726562499993</c:v>
                </c:pt>
                <c:pt idx="227">
                  <c:v>2.0334062500000005</c:v>
                </c:pt>
                <c:pt idx="228">
                  <c:v>2.1263242187499989</c:v>
                </c:pt>
                <c:pt idx="229">
                  <c:v>2.2187496312499952</c:v>
                </c:pt>
                <c:pt idx="230">
                  <c:v>2.21875</c:v>
                </c:pt>
                <c:pt idx="231">
                  <c:v>2.2187500687499964</c:v>
                </c:pt>
                <c:pt idx="232">
                  <c:v>2.2357070312500005</c:v>
                </c:pt>
                <c:pt idx="233">
                  <c:v>2.2522187499999999</c:v>
                </c:pt>
                <c:pt idx="234">
                  <c:v>2.26830859375</c:v>
                </c:pt>
                <c:pt idx="235">
                  <c:v>2.2839999999999998</c:v>
                </c:pt>
                <c:pt idx="236">
                  <c:v>2.29931640625</c:v>
                </c:pt>
                <c:pt idx="237">
                  <c:v>2.3142812500000001</c:v>
                </c:pt>
                <c:pt idx="238">
                  <c:v>2.3289179687499999</c:v>
                </c:pt>
                <c:pt idx="239">
                  <c:v>2.3432500000000003</c:v>
                </c:pt>
                <c:pt idx="240">
                  <c:v>2.3573007812499998</c:v>
                </c:pt>
                <c:pt idx="241">
                  <c:v>2.37109375</c:v>
                </c:pt>
                <c:pt idx="242">
                  <c:v>2.38465234375</c:v>
                </c:pt>
                <c:pt idx="243">
                  <c:v>2.3979999999999997</c:v>
                </c:pt>
                <c:pt idx="244">
                  <c:v>2.4111601562500002</c:v>
                </c:pt>
                <c:pt idx="245">
                  <c:v>2.4241562499999998</c:v>
                </c:pt>
                <c:pt idx="246">
                  <c:v>2.43701171875</c:v>
                </c:pt>
                <c:pt idx="247">
                  <c:v>2.4497500000000003</c:v>
                </c:pt>
                <c:pt idx="248">
                  <c:v>2.4623945312500002</c:v>
                </c:pt>
                <c:pt idx="249">
                  <c:v>2.4749687499999999</c:v>
                </c:pt>
                <c:pt idx="250">
                  <c:v>2.4874960937499999</c:v>
                </c:pt>
                <c:pt idx="251">
                  <c:v>2.4999999499999999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7BF-493A-B917-A9899F10A10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1C0F68-EB0A-4DC1-872D-4B45AA76D363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C-46BE-A520-4DEF935C02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C89B80-40BD-4C92-B9B6-AA5B72C4BF5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CC-46BE-A520-4DEF935C02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F69116-6F31-4205-8A70-3A52165F290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CC-46BE-A520-4DEF935C02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C747E1-F8B5-46AB-B488-4E73DA9497A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CC-46BE-A520-4DEF935C02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34ED71-FB13-4B58-8F55-9DEC44C14BB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CC-46BE-A520-4DEF935C02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846954-B4C2-4BB2-9053-FD90BCD310A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CC-46BE-A520-4DEF935C02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52EE9A-627D-419A-A9FD-110BC7F79EB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CC-46BE-A520-4DEF935C02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CC0656-EA90-4562-813F-456C28F8AA2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CC-46BE-A520-4DEF935C02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38E4FB-DE7B-434B-A6BC-A54CA11264F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B3-4D93-A1E9-F9D2CBFE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DBDC3E-E344-4CF2-89A8-83C13DCEBEE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B3-4D93-A1E9-F9D2CBFE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6BC469-4C5C-4077-810A-3BCE043A98E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A3-48CE-A4F2-061BED027C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89DEA5-7900-444A-9129-0FDFA7B0094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2B-46C6-B01B-1C30FD2686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77A911-0A42-43EC-A0BC-2C6168E6337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2B-46C6-B01B-1C30FD268691}"/>
                </c:ext>
              </c:extLst>
            </c:dLbl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3"/>
                  <c:pt idx="0">
                    <c:v>0.00</c:v>
                  </c:pt>
                  <c:pt idx="1">
                    <c:v>0.50</c:v>
                  </c:pt>
                  <c:pt idx="2">
                    <c:v>1.00</c:v>
                  </c:pt>
                  <c:pt idx="3">
                    <c:v>1.50</c:v>
                  </c:pt>
                  <c:pt idx="4">
                    <c:v>2.00</c:v>
                  </c:pt>
                  <c:pt idx="5">
                    <c:v>2.50</c:v>
                  </c:pt>
                  <c:pt idx="6">
                    <c:v>3.00</c:v>
                  </c:pt>
                  <c:pt idx="7">
                    <c:v>3.50</c:v>
                  </c:pt>
                  <c:pt idx="8">
                    <c:v>4.00</c:v>
                  </c:pt>
                  <c:pt idx="9">
                    <c:v>4.50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ECC-46BE-A520-4DEF935C0288}"/>
            </c:ext>
          </c:extLst>
        </c:ser>
        <c:ser>
          <c:idx val="2"/>
          <c:order val="2"/>
          <c:tx>
            <c:v>MAX-MIN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B3-4D93-A1E9-F9D2CBFEB06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B3-4D93-A1E9-F9D2CBFEB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Sheet1!$L$42:$L$43</c:f>
              <c:numCache>
                <c:formatCode>0.000</c:formatCode>
                <c:ptCount val="2"/>
                <c:pt idx="0">
                  <c:v>2.5</c:v>
                </c:pt>
                <c:pt idx="1">
                  <c:v>#N/A</c:v>
                </c:pt>
              </c:numCache>
            </c:numRef>
          </c:xVal>
          <c:yVal>
            <c:numRef>
              <c:f>Sheet1!$M$42:$M$43</c:f>
              <c:numCache>
                <c:formatCode>0.00" kNm"</c:formatCode>
                <c:ptCount val="2"/>
                <c:pt idx="0">
                  <c:v>20.365416666666668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352-B9F2-CCF93FD8C9F4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2A-4519-BA55-53980F58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t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MOMENT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6542039168729662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80458727187112E-2"/>
          <c:w val="0.88598605264610841"/>
          <c:h val="0.87518807355255157"/>
        </c:manualLayout>
      </c:layout>
      <c:scatterChart>
        <c:scatterStyle val="lineMarker"/>
        <c:varyColors val="0"/>
        <c:ser>
          <c:idx val="0"/>
          <c:order val="0"/>
          <c:tx>
            <c:v>SHEAR</c:v>
          </c:tx>
          <c:marker>
            <c:symbol val="none"/>
          </c:marker>
          <c:errBars>
            <c:errDir val="x"/>
            <c:errBarType val="both"/>
            <c:errValType val="percentage"/>
            <c:noEndCap val="1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56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1.6699998999999999</c:v>
                </c:pt>
                <c:pt idx="71">
                  <c:v>1.6700001</c:v>
                </c:pt>
                <c:pt idx="72">
                  <c:v>1.675</c:v>
                </c:pt>
                <c:pt idx="73">
                  <c:v>1.7</c:v>
                </c:pt>
                <c:pt idx="74">
                  <c:v>1.7250000000000001</c:v>
                </c:pt>
                <c:pt idx="75">
                  <c:v>1.75</c:v>
                </c:pt>
                <c:pt idx="76">
                  <c:v>1.7749999999999999</c:v>
                </c:pt>
                <c:pt idx="77">
                  <c:v>1.8</c:v>
                </c:pt>
                <c:pt idx="78">
                  <c:v>1.825</c:v>
                </c:pt>
                <c:pt idx="79">
                  <c:v>1.85</c:v>
                </c:pt>
                <c:pt idx="80">
                  <c:v>1.875</c:v>
                </c:pt>
                <c:pt idx="81">
                  <c:v>1.9</c:v>
                </c:pt>
                <c:pt idx="82">
                  <c:v>1.925</c:v>
                </c:pt>
                <c:pt idx="83">
                  <c:v>1.95</c:v>
                </c:pt>
                <c:pt idx="84">
                  <c:v>1.9750000000000001</c:v>
                </c:pt>
                <c:pt idx="85">
                  <c:v>2</c:v>
                </c:pt>
                <c:pt idx="86">
                  <c:v>2.0249999999999999</c:v>
                </c:pt>
                <c:pt idx="87">
                  <c:v>2.0499999999999998</c:v>
                </c:pt>
                <c:pt idx="88">
                  <c:v>2.0750000000000002</c:v>
                </c:pt>
                <c:pt idx="89">
                  <c:v>2.1</c:v>
                </c:pt>
                <c:pt idx="90">
                  <c:v>2.125</c:v>
                </c:pt>
                <c:pt idx="91">
                  <c:v>2.15</c:v>
                </c:pt>
                <c:pt idx="92">
                  <c:v>2.1749999999999998</c:v>
                </c:pt>
                <c:pt idx="93">
                  <c:v>2.2000000000000002</c:v>
                </c:pt>
                <c:pt idx="94">
                  <c:v>2.2250000000000001</c:v>
                </c:pt>
                <c:pt idx="95">
                  <c:v>2.25</c:v>
                </c:pt>
                <c:pt idx="96">
                  <c:v>2.2749999999999999</c:v>
                </c:pt>
                <c:pt idx="97">
                  <c:v>2.2999999999999998</c:v>
                </c:pt>
                <c:pt idx="98">
                  <c:v>2.3250000000000002</c:v>
                </c:pt>
                <c:pt idx="99">
                  <c:v>2.35</c:v>
                </c:pt>
                <c:pt idx="100">
                  <c:v>2.375</c:v>
                </c:pt>
                <c:pt idx="101">
                  <c:v>2.4</c:v>
                </c:pt>
                <c:pt idx="102">
                  <c:v>2.4249999999999998</c:v>
                </c:pt>
                <c:pt idx="103">
                  <c:v>2.4500000000000002</c:v>
                </c:pt>
                <c:pt idx="104">
                  <c:v>2.4750000000000001</c:v>
                </c:pt>
                <c:pt idx="105">
                  <c:v>2.5</c:v>
                </c:pt>
                <c:pt idx="106">
                  <c:v>2.5249999999999999</c:v>
                </c:pt>
                <c:pt idx="107">
                  <c:v>2.5499999999999998</c:v>
                </c:pt>
                <c:pt idx="108">
                  <c:v>2.5750000000000002</c:v>
                </c:pt>
                <c:pt idx="109">
                  <c:v>2.6</c:v>
                </c:pt>
                <c:pt idx="110">
                  <c:v>2.625</c:v>
                </c:pt>
                <c:pt idx="111">
                  <c:v>2.65</c:v>
                </c:pt>
                <c:pt idx="112">
                  <c:v>2.6749999999999998</c:v>
                </c:pt>
                <c:pt idx="113">
                  <c:v>2.7</c:v>
                </c:pt>
                <c:pt idx="114">
                  <c:v>2.7250000000000001</c:v>
                </c:pt>
                <c:pt idx="115">
                  <c:v>2.75</c:v>
                </c:pt>
                <c:pt idx="116">
                  <c:v>2.7749999999999999</c:v>
                </c:pt>
                <c:pt idx="117">
                  <c:v>2.8</c:v>
                </c:pt>
                <c:pt idx="118">
                  <c:v>2.8250000000000002</c:v>
                </c:pt>
                <c:pt idx="119">
                  <c:v>2.85</c:v>
                </c:pt>
                <c:pt idx="120">
                  <c:v>2.875</c:v>
                </c:pt>
                <c:pt idx="121">
                  <c:v>2.9</c:v>
                </c:pt>
                <c:pt idx="122">
                  <c:v>2.9249999999999998</c:v>
                </c:pt>
                <c:pt idx="123">
                  <c:v>2.95</c:v>
                </c:pt>
                <c:pt idx="124">
                  <c:v>2.9750000000000001</c:v>
                </c:pt>
                <c:pt idx="125">
                  <c:v>3</c:v>
                </c:pt>
                <c:pt idx="126">
                  <c:v>3.0249999999999999</c:v>
                </c:pt>
                <c:pt idx="127">
                  <c:v>3.05</c:v>
                </c:pt>
                <c:pt idx="128">
                  <c:v>3.0750000000000002</c:v>
                </c:pt>
                <c:pt idx="129">
                  <c:v>3.1</c:v>
                </c:pt>
                <c:pt idx="130">
                  <c:v>3.125</c:v>
                </c:pt>
                <c:pt idx="131">
                  <c:v>3.15</c:v>
                </c:pt>
                <c:pt idx="132">
                  <c:v>3.1749999999999998</c:v>
                </c:pt>
                <c:pt idx="133">
                  <c:v>3.2</c:v>
                </c:pt>
                <c:pt idx="134">
                  <c:v>3.2250000000000001</c:v>
                </c:pt>
                <c:pt idx="135">
                  <c:v>3.25</c:v>
                </c:pt>
                <c:pt idx="136">
                  <c:v>3.2749999999999999</c:v>
                </c:pt>
                <c:pt idx="137">
                  <c:v>3.3</c:v>
                </c:pt>
                <c:pt idx="138">
                  <c:v>3.3250000000000002</c:v>
                </c:pt>
                <c:pt idx="139">
                  <c:v>3.3299999000000002</c:v>
                </c:pt>
                <c:pt idx="140">
                  <c:v>3.3300000999999999</c:v>
                </c:pt>
                <c:pt idx="141">
                  <c:v>3.35</c:v>
                </c:pt>
                <c:pt idx="142">
                  <c:v>3.375</c:v>
                </c:pt>
                <c:pt idx="143">
                  <c:v>3.4</c:v>
                </c:pt>
                <c:pt idx="144">
                  <c:v>3.4249999999999998</c:v>
                </c:pt>
                <c:pt idx="145">
                  <c:v>3.45</c:v>
                </c:pt>
                <c:pt idx="146">
                  <c:v>3.4750000000000001</c:v>
                </c:pt>
                <c:pt idx="147">
                  <c:v>3.5</c:v>
                </c:pt>
                <c:pt idx="148">
                  <c:v>3.5249999999999999</c:v>
                </c:pt>
                <c:pt idx="149">
                  <c:v>3.55</c:v>
                </c:pt>
                <c:pt idx="150">
                  <c:v>3.5750000000000002</c:v>
                </c:pt>
                <c:pt idx="151">
                  <c:v>3.6</c:v>
                </c:pt>
                <c:pt idx="152">
                  <c:v>3.625</c:v>
                </c:pt>
                <c:pt idx="153">
                  <c:v>3.65</c:v>
                </c:pt>
                <c:pt idx="154">
                  <c:v>3.6749999999999998</c:v>
                </c:pt>
                <c:pt idx="155">
                  <c:v>3.7</c:v>
                </c:pt>
                <c:pt idx="156">
                  <c:v>3.7250000000000001</c:v>
                </c:pt>
                <c:pt idx="157">
                  <c:v>3.75</c:v>
                </c:pt>
                <c:pt idx="158">
                  <c:v>3.7749999999999999</c:v>
                </c:pt>
                <c:pt idx="159">
                  <c:v>3.8</c:v>
                </c:pt>
                <c:pt idx="160">
                  <c:v>3.8250000000000002</c:v>
                </c:pt>
                <c:pt idx="161">
                  <c:v>3.85</c:v>
                </c:pt>
                <c:pt idx="162">
                  <c:v>3.875</c:v>
                </c:pt>
                <c:pt idx="163">
                  <c:v>3.9</c:v>
                </c:pt>
                <c:pt idx="164">
                  <c:v>3.9249999999999998</c:v>
                </c:pt>
                <c:pt idx="165">
                  <c:v>3.95</c:v>
                </c:pt>
                <c:pt idx="166">
                  <c:v>3.9750000000000001</c:v>
                </c:pt>
                <c:pt idx="167">
                  <c:v>4</c:v>
                </c:pt>
                <c:pt idx="168">
                  <c:v>4.0250000000000004</c:v>
                </c:pt>
                <c:pt idx="169">
                  <c:v>4.05</c:v>
                </c:pt>
                <c:pt idx="170">
                  <c:v>4.0750000000000002</c:v>
                </c:pt>
                <c:pt idx="171">
                  <c:v>4.0999999999999996</c:v>
                </c:pt>
                <c:pt idx="172">
                  <c:v>4.125</c:v>
                </c:pt>
                <c:pt idx="173">
                  <c:v>4.1500000000000004</c:v>
                </c:pt>
                <c:pt idx="174">
                  <c:v>4.1749999999999998</c:v>
                </c:pt>
                <c:pt idx="175">
                  <c:v>4.2</c:v>
                </c:pt>
                <c:pt idx="176">
                  <c:v>4.2249999999999996</c:v>
                </c:pt>
                <c:pt idx="177">
                  <c:v>4.25</c:v>
                </c:pt>
                <c:pt idx="178">
                  <c:v>4.2750000000000004</c:v>
                </c:pt>
                <c:pt idx="179">
                  <c:v>4.3</c:v>
                </c:pt>
                <c:pt idx="180">
                  <c:v>4.3250000000000002</c:v>
                </c:pt>
                <c:pt idx="181">
                  <c:v>4.3499999999999996</c:v>
                </c:pt>
                <c:pt idx="182">
                  <c:v>4.375</c:v>
                </c:pt>
                <c:pt idx="183">
                  <c:v>4.4000000000000004</c:v>
                </c:pt>
                <c:pt idx="184">
                  <c:v>4.4249999999999998</c:v>
                </c:pt>
                <c:pt idx="185">
                  <c:v>4.45</c:v>
                </c:pt>
                <c:pt idx="186">
                  <c:v>4.4749999999999996</c:v>
                </c:pt>
                <c:pt idx="187">
                  <c:v>4.5</c:v>
                </c:pt>
                <c:pt idx="188">
                  <c:v>4.5250000000000004</c:v>
                </c:pt>
                <c:pt idx="189">
                  <c:v>4.55</c:v>
                </c:pt>
                <c:pt idx="190">
                  <c:v>4.5750000000000002</c:v>
                </c:pt>
                <c:pt idx="191">
                  <c:v>4.5999999999999996</c:v>
                </c:pt>
                <c:pt idx="192">
                  <c:v>4.625</c:v>
                </c:pt>
                <c:pt idx="193">
                  <c:v>4.6500000000000004</c:v>
                </c:pt>
                <c:pt idx="194">
                  <c:v>4.6749999999999998</c:v>
                </c:pt>
                <c:pt idx="195">
                  <c:v>4.7</c:v>
                </c:pt>
                <c:pt idx="196">
                  <c:v>4.7249999999999996</c:v>
                </c:pt>
                <c:pt idx="197">
                  <c:v>4.75</c:v>
                </c:pt>
                <c:pt idx="198">
                  <c:v>4.7750000000000004</c:v>
                </c:pt>
                <c:pt idx="199">
                  <c:v>4.8</c:v>
                </c:pt>
                <c:pt idx="200">
                  <c:v>4.8250000000000002</c:v>
                </c:pt>
                <c:pt idx="201">
                  <c:v>4.8499999999999996</c:v>
                </c:pt>
                <c:pt idx="202">
                  <c:v>4.875</c:v>
                </c:pt>
                <c:pt idx="203">
                  <c:v>4.9000000000000004</c:v>
                </c:pt>
                <c:pt idx="204">
                  <c:v>4.9249999999999998</c:v>
                </c:pt>
                <c:pt idx="205">
                  <c:v>4.95</c:v>
                </c:pt>
                <c:pt idx="206">
                  <c:v>4.9749999999999996</c:v>
                </c:pt>
                <c:pt idx="207">
                  <c:v>4.9999998999999997</c:v>
                </c:pt>
                <c:pt idx="208">
                  <c:v>5</c:v>
                </c:pt>
                <c:pt idx="209">
                  <c:v>5.0000001000000003</c:v>
                </c:pt>
                <c:pt idx="210">
                  <c:v>5.0250000000000004</c:v>
                </c:pt>
                <c:pt idx="211">
                  <c:v>5.05</c:v>
                </c:pt>
                <c:pt idx="212">
                  <c:v>5.0750000000000002</c:v>
                </c:pt>
                <c:pt idx="213">
                  <c:v>5.0999999999999996</c:v>
                </c:pt>
                <c:pt idx="214">
                  <c:v>5.125</c:v>
                </c:pt>
                <c:pt idx="215">
                  <c:v>5.15</c:v>
                </c:pt>
                <c:pt idx="216">
                  <c:v>5.1749999999999998</c:v>
                </c:pt>
                <c:pt idx="217">
                  <c:v>5.2</c:v>
                </c:pt>
                <c:pt idx="218">
                  <c:v>5.2249999999999996</c:v>
                </c:pt>
                <c:pt idx="219">
                  <c:v>5.25</c:v>
                </c:pt>
                <c:pt idx="220">
                  <c:v>5.2750000000000004</c:v>
                </c:pt>
                <c:pt idx="221">
                  <c:v>5.3</c:v>
                </c:pt>
                <c:pt idx="222">
                  <c:v>5.3250000000000002</c:v>
                </c:pt>
                <c:pt idx="223">
                  <c:v>5.35</c:v>
                </c:pt>
                <c:pt idx="224">
                  <c:v>5.375</c:v>
                </c:pt>
                <c:pt idx="225">
                  <c:v>5.4</c:v>
                </c:pt>
                <c:pt idx="226">
                  <c:v>5.4249999999999998</c:v>
                </c:pt>
                <c:pt idx="227">
                  <c:v>5.45</c:v>
                </c:pt>
                <c:pt idx="228">
                  <c:v>5.4749999999999996</c:v>
                </c:pt>
                <c:pt idx="229">
                  <c:v>5.4999998999999997</c:v>
                </c:pt>
                <c:pt idx="230">
                  <c:v>5.5</c:v>
                </c:pt>
                <c:pt idx="231">
                  <c:v>5.5000001000000003</c:v>
                </c:pt>
                <c:pt idx="232">
                  <c:v>5.5250000000000004</c:v>
                </c:pt>
                <c:pt idx="233">
                  <c:v>5.55</c:v>
                </c:pt>
                <c:pt idx="234">
                  <c:v>5.5750000000000002</c:v>
                </c:pt>
                <c:pt idx="235">
                  <c:v>5.6</c:v>
                </c:pt>
                <c:pt idx="236">
                  <c:v>5.625</c:v>
                </c:pt>
                <c:pt idx="237">
                  <c:v>5.65</c:v>
                </c:pt>
                <c:pt idx="238">
                  <c:v>5.6749999999999998</c:v>
                </c:pt>
                <c:pt idx="239">
                  <c:v>5.7</c:v>
                </c:pt>
                <c:pt idx="240">
                  <c:v>5.7249999999999996</c:v>
                </c:pt>
                <c:pt idx="241">
                  <c:v>5.75</c:v>
                </c:pt>
                <c:pt idx="242">
                  <c:v>5.7750000000000004</c:v>
                </c:pt>
                <c:pt idx="243">
                  <c:v>5.8</c:v>
                </c:pt>
                <c:pt idx="244">
                  <c:v>5.8250000000000002</c:v>
                </c:pt>
                <c:pt idx="245">
                  <c:v>5.85</c:v>
                </c:pt>
                <c:pt idx="246">
                  <c:v>5.875</c:v>
                </c:pt>
                <c:pt idx="247">
                  <c:v>5.9</c:v>
                </c:pt>
                <c:pt idx="248">
                  <c:v>5.9249999999999998</c:v>
                </c:pt>
                <c:pt idx="249">
                  <c:v>5.95</c:v>
                </c:pt>
                <c:pt idx="250">
                  <c:v>5.9749999999999996</c:v>
                </c:pt>
                <c:pt idx="251">
                  <c:v>5.9999998999999997</c:v>
                </c:pt>
                <c:pt idx="252">
                  <c:v>6</c:v>
                </c:pt>
                <c:pt idx="253">
                  <c:v>6</c:v>
                </c:pt>
                <c:pt idx="254">
                  <c:v>0</c:v>
                </c:pt>
                <c:pt idx="255">
                  <c:v>0</c:v>
                </c:pt>
              </c:numCache>
            </c:numRef>
          </c:xVal>
          <c:yVal>
            <c:numRef>
              <c:f>[0]!SHEAR_list</c:f>
              <c:numCache>
                <c:formatCode>0.000</c:formatCode>
                <c:ptCount val="256"/>
                <c:pt idx="0">
                  <c:v>12.404166666666667</c:v>
                </c:pt>
                <c:pt idx="1">
                  <c:v>12.404166366666667</c:v>
                </c:pt>
                <c:pt idx="2">
                  <c:v>12.329166666666666</c:v>
                </c:pt>
                <c:pt idx="3">
                  <c:v>12.254166666666666</c:v>
                </c:pt>
                <c:pt idx="4">
                  <c:v>12.179166666666667</c:v>
                </c:pt>
                <c:pt idx="5">
                  <c:v>12.104166666666666</c:v>
                </c:pt>
                <c:pt idx="6">
                  <c:v>12.029166666666667</c:v>
                </c:pt>
                <c:pt idx="7">
                  <c:v>11.954166666666666</c:v>
                </c:pt>
                <c:pt idx="8">
                  <c:v>11.879166666666666</c:v>
                </c:pt>
                <c:pt idx="9">
                  <c:v>11.804166666666667</c:v>
                </c:pt>
                <c:pt idx="10">
                  <c:v>11.729166666666666</c:v>
                </c:pt>
                <c:pt idx="11">
                  <c:v>11.654166666666667</c:v>
                </c:pt>
                <c:pt idx="12">
                  <c:v>11.579166666666666</c:v>
                </c:pt>
                <c:pt idx="13">
                  <c:v>11.504166666666666</c:v>
                </c:pt>
                <c:pt idx="14">
                  <c:v>11.429166666666667</c:v>
                </c:pt>
                <c:pt idx="15">
                  <c:v>11.354166666666666</c:v>
                </c:pt>
                <c:pt idx="16">
                  <c:v>11.279166666666667</c:v>
                </c:pt>
                <c:pt idx="17">
                  <c:v>11.204166666666666</c:v>
                </c:pt>
                <c:pt idx="18">
                  <c:v>11.129166666666666</c:v>
                </c:pt>
                <c:pt idx="19">
                  <c:v>11.054166666666667</c:v>
                </c:pt>
                <c:pt idx="20">
                  <c:v>10.979166666666666</c:v>
                </c:pt>
                <c:pt idx="21">
                  <c:v>10.904166666666667</c:v>
                </c:pt>
                <c:pt idx="22">
                  <c:v>10.829166666666666</c:v>
                </c:pt>
                <c:pt idx="23">
                  <c:v>10.754166666666666</c:v>
                </c:pt>
                <c:pt idx="24">
                  <c:v>10.679166666666667</c:v>
                </c:pt>
                <c:pt idx="25">
                  <c:v>10.604166666666666</c:v>
                </c:pt>
                <c:pt idx="26">
                  <c:v>10.529166666666667</c:v>
                </c:pt>
                <c:pt idx="27">
                  <c:v>10.454166666666666</c:v>
                </c:pt>
                <c:pt idx="28">
                  <c:v>10.379166666666666</c:v>
                </c:pt>
                <c:pt idx="29">
                  <c:v>10.304166666666667</c:v>
                </c:pt>
                <c:pt idx="30">
                  <c:v>10.229166666666666</c:v>
                </c:pt>
                <c:pt idx="31">
                  <c:v>10.154166666666667</c:v>
                </c:pt>
                <c:pt idx="32">
                  <c:v>10.079166666666666</c:v>
                </c:pt>
                <c:pt idx="33">
                  <c:v>10.004166666666666</c:v>
                </c:pt>
                <c:pt idx="34">
                  <c:v>9.9291666666666671</c:v>
                </c:pt>
                <c:pt idx="35">
                  <c:v>9.8541666666666661</c:v>
                </c:pt>
                <c:pt idx="36">
                  <c:v>9.7791666666666668</c:v>
                </c:pt>
                <c:pt idx="37">
                  <c:v>9.7041666666666657</c:v>
                </c:pt>
                <c:pt idx="38">
                  <c:v>9.6291666666666664</c:v>
                </c:pt>
                <c:pt idx="39">
                  <c:v>9.5541666666666671</c:v>
                </c:pt>
                <c:pt idx="40">
                  <c:v>9.4791666666666661</c:v>
                </c:pt>
                <c:pt idx="41">
                  <c:v>9.4041669666666667</c:v>
                </c:pt>
                <c:pt idx="42">
                  <c:v>9.4041666666666668</c:v>
                </c:pt>
                <c:pt idx="43">
                  <c:v>9.4041663666666615</c:v>
                </c:pt>
                <c:pt idx="44">
                  <c:v>9.3289166666666663</c:v>
                </c:pt>
                <c:pt idx="45">
                  <c:v>9.253166666666667</c:v>
                </c:pt>
                <c:pt idx="46">
                  <c:v>9.1769166666666671</c:v>
                </c:pt>
                <c:pt idx="47">
                  <c:v>9.1001666666666665</c:v>
                </c:pt>
                <c:pt idx="48">
                  <c:v>9.0229166666666671</c:v>
                </c:pt>
                <c:pt idx="49">
                  <c:v>8.9451666666666672</c:v>
                </c:pt>
                <c:pt idx="50">
                  <c:v>8.8669166666666666</c:v>
                </c:pt>
                <c:pt idx="51">
                  <c:v>8.7881666666666671</c:v>
                </c:pt>
                <c:pt idx="52">
                  <c:v>8.7089166666666653</c:v>
                </c:pt>
                <c:pt idx="53">
                  <c:v>8.6291666666666664</c:v>
                </c:pt>
                <c:pt idx="54">
                  <c:v>8.5489166666666669</c:v>
                </c:pt>
                <c:pt idx="55">
                  <c:v>8.4681666666666668</c:v>
                </c:pt>
                <c:pt idx="56">
                  <c:v>8.3869166666666679</c:v>
                </c:pt>
                <c:pt idx="57">
                  <c:v>8.3051666666666684</c:v>
                </c:pt>
                <c:pt idx="58">
                  <c:v>8.2229166666666664</c:v>
                </c:pt>
                <c:pt idx="59">
                  <c:v>8.1401666666666657</c:v>
                </c:pt>
                <c:pt idx="60">
                  <c:v>8.0569166666666678</c:v>
                </c:pt>
                <c:pt idx="61">
                  <c:v>7.9731666666666676</c:v>
                </c:pt>
                <c:pt idx="62">
                  <c:v>7.8889166666666686</c:v>
                </c:pt>
                <c:pt idx="63">
                  <c:v>7.8041666666666689</c:v>
                </c:pt>
                <c:pt idx="64">
                  <c:v>7.7189166666666686</c:v>
                </c:pt>
                <c:pt idx="65">
                  <c:v>7.6331666666666678</c:v>
                </c:pt>
                <c:pt idx="66">
                  <c:v>7.546916666666668</c:v>
                </c:pt>
                <c:pt idx="67">
                  <c:v>7.4601666666666677</c:v>
                </c:pt>
                <c:pt idx="68">
                  <c:v>7.3729166666666686</c:v>
                </c:pt>
                <c:pt idx="69">
                  <c:v>7.2851666666666688</c:v>
                </c:pt>
                <c:pt idx="70">
                  <c:v>7.2146070202666639</c:v>
                </c:pt>
                <c:pt idx="71">
                  <c:v>3.2146063130666631</c:v>
                </c:pt>
                <c:pt idx="72">
                  <c:v>3.1969166666666671</c:v>
                </c:pt>
                <c:pt idx="73">
                  <c:v>3.1081666666666674</c:v>
                </c:pt>
                <c:pt idx="74">
                  <c:v>3.0189166666666667</c:v>
                </c:pt>
                <c:pt idx="75">
                  <c:v>2.9291666666666676</c:v>
                </c:pt>
                <c:pt idx="76">
                  <c:v>2.8389166666666674</c:v>
                </c:pt>
                <c:pt idx="77">
                  <c:v>2.7481666666666666</c:v>
                </c:pt>
                <c:pt idx="78">
                  <c:v>2.6569166666666675</c:v>
                </c:pt>
                <c:pt idx="79">
                  <c:v>2.5651666666666673</c:v>
                </c:pt>
                <c:pt idx="80">
                  <c:v>2.4729166666666673</c:v>
                </c:pt>
                <c:pt idx="81">
                  <c:v>2.3801666666666677</c:v>
                </c:pt>
                <c:pt idx="82">
                  <c:v>2.2869166666666665</c:v>
                </c:pt>
                <c:pt idx="83">
                  <c:v>2.1931666666666674</c:v>
                </c:pt>
                <c:pt idx="84">
                  <c:v>2.0989166666666663</c:v>
                </c:pt>
                <c:pt idx="85">
                  <c:v>2.0041666666666669</c:v>
                </c:pt>
                <c:pt idx="86">
                  <c:v>1.9089166666666668</c:v>
                </c:pt>
                <c:pt idx="87">
                  <c:v>1.8131666666666675</c:v>
                </c:pt>
                <c:pt idx="88">
                  <c:v>1.7169166666666662</c:v>
                </c:pt>
                <c:pt idx="89">
                  <c:v>1.6201666666666665</c:v>
                </c:pt>
                <c:pt idx="90">
                  <c:v>1.5229166666666667</c:v>
                </c:pt>
                <c:pt idx="91">
                  <c:v>1.4251666666666671</c:v>
                </c:pt>
                <c:pt idx="92">
                  <c:v>1.3269166666666674</c:v>
                </c:pt>
                <c:pt idx="93">
                  <c:v>1.2281666666666666</c:v>
                </c:pt>
                <c:pt idx="94">
                  <c:v>1.1289166666666661</c:v>
                </c:pt>
                <c:pt idx="95">
                  <c:v>1.0291666666666668</c:v>
                </c:pt>
                <c:pt idx="96">
                  <c:v>0.92891666666666783</c:v>
                </c:pt>
                <c:pt idx="97">
                  <c:v>0.82816666666666727</c:v>
                </c:pt>
                <c:pt idx="98">
                  <c:v>0.7269166666666661</c:v>
                </c:pt>
                <c:pt idx="99">
                  <c:v>0.62516666666666609</c:v>
                </c:pt>
                <c:pt idx="100">
                  <c:v>0.52291666666666736</c:v>
                </c:pt>
                <c:pt idx="101">
                  <c:v>0.42016666666666702</c:v>
                </c:pt>
                <c:pt idx="102">
                  <c:v>0.31691666666666785</c:v>
                </c:pt>
                <c:pt idx="103">
                  <c:v>0.21316666666666628</c:v>
                </c:pt>
                <c:pt idx="104">
                  <c:v>0.10891666666666677</c:v>
                </c:pt>
                <c:pt idx="105">
                  <c:v>4.1666666666666519E-3</c:v>
                </c:pt>
                <c:pt idx="106">
                  <c:v>-0.10108333333333241</c:v>
                </c:pt>
                <c:pt idx="107">
                  <c:v>-0.20683333333333276</c:v>
                </c:pt>
                <c:pt idx="108">
                  <c:v>-0.31308333333333382</c:v>
                </c:pt>
                <c:pt idx="109">
                  <c:v>-0.41983333333333384</c:v>
                </c:pt>
                <c:pt idx="110">
                  <c:v>-0.52708333333333268</c:v>
                </c:pt>
                <c:pt idx="111">
                  <c:v>-0.63483333333333292</c:v>
                </c:pt>
                <c:pt idx="112">
                  <c:v>-0.74308333333333287</c:v>
                </c:pt>
                <c:pt idx="113">
                  <c:v>-0.85183333333333433</c:v>
                </c:pt>
                <c:pt idx="114">
                  <c:v>-0.96108333333333373</c:v>
                </c:pt>
                <c:pt idx="115">
                  <c:v>-1.0708333333333337</c:v>
                </c:pt>
                <c:pt idx="116">
                  <c:v>-1.1810833333333326</c:v>
                </c:pt>
                <c:pt idx="117">
                  <c:v>-1.2918333333333321</c:v>
                </c:pt>
                <c:pt idx="118">
                  <c:v>-1.4030833333333339</c:v>
                </c:pt>
                <c:pt idx="119">
                  <c:v>-1.5148333333333337</c:v>
                </c:pt>
                <c:pt idx="120">
                  <c:v>-1.6270833333333332</c:v>
                </c:pt>
                <c:pt idx="121">
                  <c:v>-1.7398333333333325</c:v>
                </c:pt>
                <c:pt idx="122">
                  <c:v>-1.8530833333333323</c:v>
                </c:pt>
                <c:pt idx="123">
                  <c:v>-1.9668333333333341</c:v>
                </c:pt>
                <c:pt idx="124">
                  <c:v>-2.0810833333333334</c:v>
                </c:pt>
                <c:pt idx="125">
                  <c:v>-2.1958333333333324</c:v>
                </c:pt>
                <c:pt idx="126">
                  <c:v>-2.3110833333333329</c:v>
                </c:pt>
                <c:pt idx="127">
                  <c:v>-2.4268333333333314</c:v>
                </c:pt>
                <c:pt idx="128">
                  <c:v>-2.543083333333334</c:v>
                </c:pt>
                <c:pt idx="129">
                  <c:v>-2.6598333333333328</c:v>
                </c:pt>
                <c:pt idx="130">
                  <c:v>-2.7770833333333331</c:v>
                </c:pt>
                <c:pt idx="131">
                  <c:v>-2.8948333333333323</c:v>
                </c:pt>
                <c:pt idx="132">
                  <c:v>-3.013083333333332</c:v>
                </c:pt>
                <c:pt idx="133">
                  <c:v>-3.1318333333333319</c:v>
                </c:pt>
                <c:pt idx="134">
                  <c:v>-3.2510833333333329</c:v>
                </c:pt>
                <c:pt idx="135">
                  <c:v>-3.3708333333333327</c:v>
                </c:pt>
                <c:pt idx="136">
                  <c:v>-3.4910833333333331</c:v>
                </c:pt>
                <c:pt idx="137">
                  <c:v>-3.6118333333333323</c:v>
                </c:pt>
                <c:pt idx="138">
                  <c:v>-3.733083333333334</c:v>
                </c:pt>
                <c:pt idx="139">
                  <c:v>-3.757392846933338</c:v>
                </c:pt>
                <c:pt idx="140">
                  <c:v>-7.7573938197333359</c:v>
                </c:pt>
                <c:pt idx="141">
                  <c:v>-7.8548333333333318</c:v>
                </c:pt>
                <c:pt idx="142">
                  <c:v>-7.9770833333333329</c:v>
                </c:pt>
                <c:pt idx="143">
                  <c:v>-8.0998333333333328</c:v>
                </c:pt>
                <c:pt idx="144">
                  <c:v>-8.2230833333333315</c:v>
                </c:pt>
                <c:pt idx="145">
                  <c:v>-8.3468333333333344</c:v>
                </c:pt>
                <c:pt idx="146">
                  <c:v>-8.4710833333333344</c:v>
                </c:pt>
                <c:pt idx="147">
                  <c:v>-8.5958333333333332</c:v>
                </c:pt>
                <c:pt idx="148">
                  <c:v>-8.7201041666666672</c:v>
                </c:pt>
                <c:pt idx="149">
                  <c:v>-8.8429166666666656</c:v>
                </c:pt>
                <c:pt idx="150">
                  <c:v>-8.9642708333333339</c:v>
                </c:pt>
                <c:pt idx="151">
                  <c:v>-9.0841666666666665</c:v>
                </c:pt>
                <c:pt idx="152">
                  <c:v>-9.2026041666666671</c:v>
                </c:pt>
                <c:pt idx="153">
                  <c:v>-9.319583333333334</c:v>
                </c:pt>
                <c:pt idx="154">
                  <c:v>-9.4351041666666653</c:v>
                </c:pt>
                <c:pt idx="155">
                  <c:v>-9.5491666666666681</c:v>
                </c:pt>
                <c:pt idx="156">
                  <c:v>-9.6617708333333336</c:v>
                </c:pt>
                <c:pt idx="157">
                  <c:v>-9.7729166666666671</c:v>
                </c:pt>
                <c:pt idx="158">
                  <c:v>-9.8826041666666669</c:v>
                </c:pt>
                <c:pt idx="159">
                  <c:v>-9.9908333333333328</c:v>
                </c:pt>
                <c:pt idx="160">
                  <c:v>-10.097604166666668</c:v>
                </c:pt>
                <c:pt idx="161">
                  <c:v>-10.202916666666667</c:v>
                </c:pt>
                <c:pt idx="162">
                  <c:v>-10.306770833333333</c:v>
                </c:pt>
                <c:pt idx="163">
                  <c:v>-10.409166666666666</c:v>
                </c:pt>
                <c:pt idx="164">
                  <c:v>-10.510104166666666</c:v>
                </c:pt>
                <c:pt idx="165">
                  <c:v>-10.609583333333335</c:v>
                </c:pt>
                <c:pt idx="166">
                  <c:v>-10.707604166666668</c:v>
                </c:pt>
                <c:pt idx="167">
                  <c:v>-10.804166666666667</c:v>
                </c:pt>
                <c:pt idx="168">
                  <c:v>-10.899270833333334</c:v>
                </c:pt>
                <c:pt idx="169">
                  <c:v>-10.992916666666666</c:v>
                </c:pt>
                <c:pt idx="170">
                  <c:v>-11.085104166666667</c:v>
                </c:pt>
                <c:pt idx="171">
                  <c:v>-11.175833333333333</c:v>
                </c:pt>
                <c:pt idx="172">
                  <c:v>-11.265104166666667</c:v>
                </c:pt>
                <c:pt idx="173">
                  <c:v>-11.352916666666669</c:v>
                </c:pt>
                <c:pt idx="174">
                  <c:v>-11.439270833333333</c:v>
                </c:pt>
                <c:pt idx="175">
                  <c:v>-11.524166666666668</c:v>
                </c:pt>
                <c:pt idx="176">
                  <c:v>-11.607604166666667</c:v>
                </c:pt>
                <c:pt idx="177">
                  <c:v>-11.689583333333333</c:v>
                </c:pt>
                <c:pt idx="178">
                  <c:v>-11.770104166666668</c:v>
                </c:pt>
                <c:pt idx="179">
                  <c:v>-11.849166666666667</c:v>
                </c:pt>
                <c:pt idx="180">
                  <c:v>-11.926770833333334</c:v>
                </c:pt>
                <c:pt idx="181">
                  <c:v>-12.002916666666666</c:v>
                </c:pt>
                <c:pt idx="182">
                  <c:v>-12.077604166666667</c:v>
                </c:pt>
                <c:pt idx="183">
                  <c:v>-12.150833333333335</c:v>
                </c:pt>
                <c:pt idx="184">
                  <c:v>-12.222604166666667</c:v>
                </c:pt>
                <c:pt idx="185">
                  <c:v>-12.292916666666668</c:v>
                </c:pt>
                <c:pt idx="186">
                  <c:v>-12.361770833333333</c:v>
                </c:pt>
                <c:pt idx="187">
                  <c:v>-12.429166666666667</c:v>
                </c:pt>
                <c:pt idx="188">
                  <c:v>-12.495104166666669</c:v>
                </c:pt>
                <c:pt idx="189">
                  <c:v>-12.559583333333334</c:v>
                </c:pt>
                <c:pt idx="190">
                  <c:v>-12.622604166666667</c:v>
                </c:pt>
                <c:pt idx="191">
                  <c:v>-12.684166666666666</c:v>
                </c:pt>
                <c:pt idx="192">
                  <c:v>-12.744270833333333</c:v>
                </c:pt>
                <c:pt idx="193">
                  <c:v>-12.802916666666668</c:v>
                </c:pt>
                <c:pt idx="194">
                  <c:v>-12.860104166666668</c:v>
                </c:pt>
                <c:pt idx="195">
                  <c:v>-12.915833333333333</c:v>
                </c:pt>
                <c:pt idx="196">
                  <c:v>-12.970104166666667</c:v>
                </c:pt>
                <c:pt idx="197">
                  <c:v>-13.022916666666667</c:v>
                </c:pt>
                <c:pt idx="198">
                  <c:v>-13.074270833333335</c:v>
                </c:pt>
                <c:pt idx="199">
                  <c:v>-13.124166666666666</c:v>
                </c:pt>
                <c:pt idx="200">
                  <c:v>-13.172604166666668</c:v>
                </c:pt>
                <c:pt idx="201">
                  <c:v>-13.219583333333334</c:v>
                </c:pt>
                <c:pt idx="202">
                  <c:v>-13.265104166666667</c:v>
                </c:pt>
                <c:pt idx="203">
                  <c:v>-13.309166666666668</c:v>
                </c:pt>
                <c:pt idx="204">
                  <c:v>-13.351770833333335</c:v>
                </c:pt>
                <c:pt idx="205">
                  <c:v>-13.392916666666668</c:v>
                </c:pt>
                <c:pt idx="206">
                  <c:v>-13.432604166666666</c:v>
                </c:pt>
                <c:pt idx="207">
                  <c:v>-13.470833183333321</c:v>
                </c:pt>
                <c:pt idx="208">
                  <c:v>-13.470833333333333</c:v>
                </c:pt>
                <c:pt idx="209">
                  <c:v>4.2499998500000071</c:v>
                </c:pt>
                <c:pt idx="210">
                  <c:v>4.2129687499999999</c:v>
                </c:pt>
                <c:pt idx="211">
                  <c:v>4.1768750000000008</c:v>
                </c:pt>
                <c:pt idx="212">
                  <c:v>4.1417187499999999</c:v>
                </c:pt>
                <c:pt idx="213">
                  <c:v>4.1074999999999999</c:v>
                </c:pt>
                <c:pt idx="214">
                  <c:v>4.07421875</c:v>
                </c:pt>
                <c:pt idx="215">
                  <c:v>4.0418749999999992</c:v>
                </c:pt>
                <c:pt idx="216">
                  <c:v>4.0104687500000002</c:v>
                </c:pt>
                <c:pt idx="217">
                  <c:v>3.9799999999999995</c:v>
                </c:pt>
                <c:pt idx="218">
                  <c:v>3.9504687500000006</c:v>
                </c:pt>
                <c:pt idx="219">
                  <c:v>3.921875</c:v>
                </c:pt>
                <c:pt idx="220">
                  <c:v>3.8942187499999994</c:v>
                </c:pt>
                <c:pt idx="221">
                  <c:v>3.8675000000000002</c:v>
                </c:pt>
                <c:pt idx="222">
                  <c:v>3.8417187499999996</c:v>
                </c:pt>
                <c:pt idx="223">
                  <c:v>3.8168750000000005</c:v>
                </c:pt>
                <c:pt idx="224">
                  <c:v>3.79296875</c:v>
                </c:pt>
                <c:pt idx="225">
                  <c:v>3.7699999999999996</c:v>
                </c:pt>
                <c:pt idx="226">
                  <c:v>3.7479687500000001</c:v>
                </c:pt>
                <c:pt idx="227">
                  <c:v>3.7268749999999997</c:v>
                </c:pt>
                <c:pt idx="228">
                  <c:v>3.7067187500000003</c:v>
                </c:pt>
                <c:pt idx="229">
                  <c:v>3.687500075000008</c:v>
                </c:pt>
                <c:pt idx="230">
                  <c:v>3.6875</c:v>
                </c:pt>
                <c:pt idx="231">
                  <c:v>0.68749992500000734</c:v>
                </c:pt>
                <c:pt idx="232">
                  <c:v>0.66921874999999975</c:v>
                </c:pt>
                <c:pt idx="233">
                  <c:v>0.65187500000000009</c:v>
                </c:pt>
                <c:pt idx="234">
                  <c:v>0.63546874999999992</c:v>
                </c:pt>
                <c:pt idx="235">
                  <c:v>0.62000000000000022</c:v>
                </c:pt>
                <c:pt idx="236">
                  <c:v>0.60546875</c:v>
                </c:pt>
                <c:pt idx="237">
                  <c:v>0.59187499999999982</c:v>
                </c:pt>
                <c:pt idx="238">
                  <c:v>0.57921875000000012</c:v>
                </c:pt>
                <c:pt idx="239">
                  <c:v>0.56749999999999989</c:v>
                </c:pt>
                <c:pt idx="240">
                  <c:v>0.55671875000000015</c:v>
                </c:pt>
                <c:pt idx="241">
                  <c:v>0.546875</c:v>
                </c:pt>
                <c:pt idx="242">
                  <c:v>0.53796874999999988</c:v>
                </c:pt>
                <c:pt idx="243">
                  <c:v>0.53</c:v>
                </c:pt>
                <c:pt idx="244">
                  <c:v>0.52296874999999998</c:v>
                </c:pt>
                <c:pt idx="245">
                  <c:v>0.51687500000000008</c:v>
                </c:pt>
                <c:pt idx="246">
                  <c:v>0.51171875</c:v>
                </c:pt>
                <c:pt idx="247">
                  <c:v>0.50749999999999995</c:v>
                </c:pt>
                <c:pt idx="248">
                  <c:v>0.50421875000000005</c:v>
                </c:pt>
                <c:pt idx="249">
                  <c:v>0.50187499999999996</c:v>
                </c:pt>
                <c:pt idx="250">
                  <c:v>0.50046875000000002</c:v>
                </c:pt>
                <c:pt idx="251">
                  <c:v>0.50000000000000755</c:v>
                </c:pt>
                <c:pt idx="252">
                  <c:v>0.5</c:v>
                </c:pt>
                <c:pt idx="253">
                  <c:v>0</c:v>
                </c:pt>
                <c:pt idx="254">
                  <c:v>0</c:v>
                </c:pt>
                <c:pt idx="255">
                  <c:v>12.404166666666667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1-4F2B-8894-5FAA2470F24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02379E-5AEB-4835-BA7B-6B1EEECA7862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B9F-4E75-BBDA-C29BE985D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30B795-981A-43C5-B9CF-4C8E89A9DCD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9F-4E75-BBDA-C29BE985D9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4975FF-45F9-4063-AA65-1C695700CFE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9F-4E75-BBDA-C29BE985D9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81F5C8-8994-486B-B803-9C06CEEF461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9F-4E75-BBDA-C29BE985D9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E52DBD-A194-471A-AC39-4D9DA3AEC22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9F-4E75-BBDA-C29BE985D9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BDD52F-999E-4694-BD08-B7E36DAA170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9F-4E75-BBDA-C29BE985D9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200B2C-F9E1-419C-9FC3-BFE471FFA3D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9F-4E75-BBDA-C29BE985D9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EA8AF4-83C1-42C2-AA05-E58575C5D6D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9F-4E75-BBDA-C29BE985D9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81A413-F3DB-4956-AEC7-8FE2EC89B5E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AF-48DB-ADFE-F34D8376E6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FC5535-B398-48AC-8938-A63ADAD3D4C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AF-48DB-ADFE-F34D8376E6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C14440-85EA-404C-AD88-82A45B943C4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A0-48C0-A6CC-CEEECB70E2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906ACB-546B-4785-ACE8-7B6AD6A0F09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A4-467E-A10B-588F3D39EE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AFD509-129E-428E-BB89-9A71B45FE2F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A4-467E-A10B-588F3D39EE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3"/>
                  <c:pt idx="0">
                    <c:v>0.00</c:v>
                  </c:pt>
                  <c:pt idx="1">
                    <c:v>0.50</c:v>
                  </c:pt>
                  <c:pt idx="2">
                    <c:v>1.00</c:v>
                  </c:pt>
                  <c:pt idx="3">
                    <c:v>1.50</c:v>
                  </c:pt>
                  <c:pt idx="4">
                    <c:v>2.00</c:v>
                  </c:pt>
                  <c:pt idx="5">
                    <c:v>2.50</c:v>
                  </c:pt>
                  <c:pt idx="6">
                    <c:v>3.00</c:v>
                  </c:pt>
                  <c:pt idx="7">
                    <c:v>3.50</c:v>
                  </c:pt>
                  <c:pt idx="8">
                    <c:v>4.00</c:v>
                  </c:pt>
                  <c:pt idx="9">
                    <c:v>4.50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B9F-4E75-BBDA-C29BE985D926}"/>
            </c:ext>
          </c:extLst>
        </c:ser>
        <c:ser>
          <c:idx val="2"/>
          <c:order val="2"/>
          <c:tx>
            <c:v>MAX-MIN</c:v>
          </c:tx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Pt>
            <c:idx val="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28AF-48DB-ADFE-F34D8376E6CB}"/>
              </c:ext>
            </c:extLst>
          </c:dPt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F-48DB-ADFE-F34D8376E6CB}"/>
                </c:ext>
              </c:extLst>
            </c:dLbl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F-48DB-ADFE-F34D8376E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Sheet1!$L$46:$L$47</c:f>
              <c:numCache>
                <c:formatCode>0.000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Sheet1!$M$46:$M$47</c:f>
              <c:numCache>
                <c:formatCode>0.00" kN"</c:formatCode>
                <c:ptCount val="2"/>
                <c:pt idx="0">
                  <c:v>12.404166666666667</c:v>
                </c:pt>
                <c:pt idx="1">
                  <c:v>-13.470833333333333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AF-48DB-ADFE-F34D8376E6CB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12-46C2-A1DD-1A874F151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SHEAR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40373895965176243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499969009195E-2"/>
          <c:w val="0.88598605264610841"/>
          <c:h val="0.87462954503194357"/>
        </c:manualLayout>
      </c:layout>
      <c:scatterChart>
        <c:scatterStyle val="lineMarker"/>
        <c:varyColors val="0"/>
        <c:ser>
          <c:idx val="0"/>
          <c:order val="0"/>
          <c:tx>
            <c:v>DEFLECTION</c:v>
          </c:tx>
          <c:marker>
            <c:symbol val="none"/>
          </c:marker>
          <c:xVal>
            <c:numRef>
              <c:f>[0]!x_list</c:f>
              <c:numCache>
                <c:formatCode>0.000</c:formatCode>
                <c:ptCount val="256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1.6699998999999999</c:v>
                </c:pt>
                <c:pt idx="71">
                  <c:v>1.6700001</c:v>
                </c:pt>
                <c:pt idx="72">
                  <c:v>1.675</c:v>
                </c:pt>
                <c:pt idx="73">
                  <c:v>1.7</c:v>
                </c:pt>
                <c:pt idx="74">
                  <c:v>1.7250000000000001</c:v>
                </c:pt>
                <c:pt idx="75">
                  <c:v>1.75</c:v>
                </c:pt>
                <c:pt idx="76">
                  <c:v>1.7749999999999999</c:v>
                </c:pt>
                <c:pt idx="77">
                  <c:v>1.8</c:v>
                </c:pt>
                <c:pt idx="78">
                  <c:v>1.825</c:v>
                </c:pt>
                <c:pt idx="79">
                  <c:v>1.85</c:v>
                </c:pt>
                <c:pt idx="80">
                  <c:v>1.875</c:v>
                </c:pt>
                <c:pt idx="81">
                  <c:v>1.9</c:v>
                </c:pt>
                <c:pt idx="82">
                  <c:v>1.925</c:v>
                </c:pt>
                <c:pt idx="83">
                  <c:v>1.95</c:v>
                </c:pt>
                <c:pt idx="84">
                  <c:v>1.9750000000000001</c:v>
                </c:pt>
                <c:pt idx="85">
                  <c:v>2</c:v>
                </c:pt>
                <c:pt idx="86">
                  <c:v>2.0249999999999999</c:v>
                </c:pt>
                <c:pt idx="87">
                  <c:v>2.0499999999999998</c:v>
                </c:pt>
                <c:pt idx="88">
                  <c:v>2.0750000000000002</c:v>
                </c:pt>
                <c:pt idx="89">
                  <c:v>2.1</c:v>
                </c:pt>
                <c:pt idx="90">
                  <c:v>2.125</c:v>
                </c:pt>
                <c:pt idx="91">
                  <c:v>2.15</c:v>
                </c:pt>
                <c:pt idx="92">
                  <c:v>2.1749999999999998</c:v>
                </c:pt>
                <c:pt idx="93">
                  <c:v>2.2000000000000002</c:v>
                </c:pt>
                <c:pt idx="94">
                  <c:v>2.2250000000000001</c:v>
                </c:pt>
                <c:pt idx="95">
                  <c:v>2.25</c:v>
                </c:pt>
                <c:pt idx="96">
                  <c:v>2.2749999999999999</c:v>
                </c:pt>
                <c:pt idx="97">
                  <c:v>2.2999999999999998</c:v>
                </c:pt>
                <c:pt idx="98">
                  <c:v>2.3250000000000002</c:v>
                </c:pt>
                <c:pt idx="99">
                  <c:v>2.35</c:v>
                </c:pt>
                <c:pt idx="100">
                  <c:v>2.375</c:v>
                </c:pt>
                <c:pt idx="101">
                  <c:v>2.4</c:v>
                </c:pt>
                <c:pt idx="102">
                  <c:v>2.4249999999999998</c:v>
                </c:pt>
                <c:pt idx="103">
                  <c:v>2.4500000000000002</c:v>
                </c:pt>
                <c:pt idx="104">
                  <c:v>2.4750000000000001</c:v>
                </c:pt>
                <c:pt idx="105">
                  <c:v>2.5</c:v>
                </c:pt>
                <c:pt idx="106">
                  <c:v>2.5249999999999999</c:v>
                </c:pt>
                <c:pt idx="107">
                  <c:v>2.5499999999999998</c:v>
                </c:pt>
                <c:pt idx="108">
                  <c:v>2.5750000000000002</c:v>
                </c:pt>
                <c:pt idx="109">
                  <c:v>2.6</c:v>
                </c:pt>
                <c:pt idx="110">
                  <c:v>2.625</c:v>
                </c:pt>
                <c:pt idx="111">
                  <c:v>2.65</c:v>
                </c:pt>
                <c:pt idx="112">
                  <c:v>2.6749999999999998</c:v>
                </c:pt>
                <c:pt idx="113">
                  <c:v>2.7</c:v>
                </c:pt>
                <c:pt idx="114">
                  <c:v>2.7250000000000001</c:v>
                </c:pt>
                <c:pt idx="115">
                  <c:v>2.75</c:v>
                </c:pt>
                <c:pt idx="116">
                  <c:v>2.7749999999999999</c:v>
                </c:pt>
                <c:pt idx="117">
                  <c:v>2.8</c:v>
                </c:pt>
                <c:pt idx="118">
                  <c:v>2.8250000000000002</c:v>
                </c:pt>
                <c:pt idx="119">
                  <c:v>2.85</c:v>
                </c:pt>
                <c:pt idx="120">
                  <c:v>2.875</c:v>
                </c:pt>
                <c:pt idx="121">
                  <c:v>2.9</c:v>
                </c:pt>
                <c:pt idx="122">
                  <c:v>2.9249999999999998</c:v>
                </c:pt>
                <c:pt idx="123">
                  <c:v>2.95</c:v>
                </c:pt>
                <c:pt idx="124">
                  <c:v>2.9750000000000001</c:v>
                </c:pt>
                <c:pt idx="125">
                  <c:v>3</c:v>
                </c:pt>
                <c:pt idx="126">
                  <c:v>3.0249999999999999</c:v>
                </c:pt>
                <c:pt idx="127">
                  <c:v>3.05</c:v>
                </c:pt>
                <c:pt idx="128">
                  <c:v>3.0750000000000002</c:v>
                </c:pt>
                <c:pt idx="129">
                  <c:v>3.1</c:v>
                </c:pt>
                <c:pt idx="130">
                  <c:v>3.125</c:v>
                </c:pt>
                <c:pt idx="131">
                  <c:v>3.15</c:v>
                </c:pt>
                <c:pt idx="132">
                  <c:v>3.1749999999999998</c:v>
                </c:pt>
                <c:pt idx="133">
                  <c:v>3.2</c:v>
                </c:pt>
                <c:pt idx="134">
                  <c:v>3.2250000000000001</c:v>
                </c:pt>
                <c:pt idx="135">
                  <c:v>3.25</c:v>
                </c:pt>
                <c:pt idx="136">
                  <c:v>3.2749999999999999</c:v>
                </c:pt>
                <c:pt idx="137">
                  <c:v>3.3</c:v>
                </c:pt>
                <c:pt idx="138">
                  <c:v>3.3250000000000002</c:v>
                </c:pt>
                <c:pt idx="139">
                  <c:v>3.3299999000000002</c:v>
                </c:pt>
                <c:pt idx="140">
                  <c:v>3.3300000999999999</c:v>
                </c:pt>
                <c:pt idx="141">
                  <c:v>3.35</c:v>
                </c:pt>
                <c:pt idx="142">
                  <c:v>3.375</c:v>
                </c:pt>
                <c:pt idx="143">
                  <c:v>3.4</c:v>
                </c:pt>
                <c:pt idx="144">
                  <c:v>3.4249999999999998</c:v>
                </c:pt>
                <c:pt idx="145">
                  <c:v>3.45</c:v>
                </c:pt>
                <c:pt idx="146">
                  <c:v>3.4750000000000001</c:v>
                </c:pt>
                <c:pt idx="147">
                  <c:v>3.5</c:v>
                </c:pt>
                <c:pt idx="148">
                  <c:v>3.5249999999999999</c:v>
                </c:pt>
                <c:pt idx="149">
                  <c:v>3.55</c:v>
                </c:pt>
                <c:pt idx="150">
                  <c:v>3.5750000000000002</c:v>
                </c:pt>
                <c:pt idx="151">
                  <c:v>3.6</c:v>
                </c:pt>
                <c:pt idx="152">
                  <c:v>3.625</c:v>
                </c:pt>
                <c:pt idx="153">
                  <c:v>3.65</c:v>
                </c:pt>
                <c:pt idx="154">
                  <c:v>3.6749999999999998</c:v>
                </c:pt>
                <c:pt idx="155">
                  <c:v>3.7</c:v>
                </c:pt>
                <c:pt idx="156">
                  <c:v>3.7250000000000001</c:v>
                </c:pt>
                <c:pt idx="157">
                  <c:v>3.75</c:v>
                </c:pt>
                <c:pt idx="158">
                  <c:v>3.7749999999999999</c:v>
                </c:pt>
                <c:pt idx="159">
                  <c:v>3.8</c:v>
                </c:pt>
                <c:pt idx="160">
                  <c:v>3.8250000000000002</c:v>
                </c:pt>
                <c:pt idx="161">
                  <c:v>3.85</c:v>
                </c:pt>
                <c:pt idx="162">
                  <c:v>3.875</c:v>
                </c:pt>
                <c:pt idx="163">
                  <c:v>3.9</c:v>
                </c:pt>
                <c:pt idx="164">
                  <c:v>3.9249999999999998</c:v>
                </c:pt>
                <c:pt idx="165">
                  <c:v>3.95</c:v>
                </c:pt>
                <c:pt idx="166">
                  <c:v>3.9750000000000001</c:v>
                </c:pt>
                <c:pt idx="167">
                  <c:v>4</c:v>
                </c:pt>
                <c:pt idx="168">
                  <c:v>4.0250000000000004</c:v>
                </c:pt>
                <c:pt idx="169">
                  <c:v>4.05</c:v>
                </c:pt>
                <c:pt idx="170">
                  <c:v>4.0750000000000002</c:v>
                </c:pt>
                <c:pt idx="171">
                  <c:v>4.0999999999999996</c:v>
                </c:pt>
                <c:pt idx="172">
                  <c:v>4.125</c:v>
                </c:pt>
                <c:pt idx="173">
                  <c:v>4.1500000000000004</c:v>
                </c:pt>
                <c:pt idx="174">
                  <c:v>4.1749999999999998</c:v>
                </c:pt>
                <c:pt idx="175">
                  <c:v>4.2</c:v>
                </c:pt>
                <c:pt idx="176">
                  <c:v>4.2249999999999996</c:v>
                </c:pt>
                <c:pt idx="177">
                  <c:v>4.25</c:v>
                </c:pt>
                <c:pt idx="178">
                  <c:v>4.2750000000000004</c:v>
                </c:pt>
                <c:pt idx="179">
                  <c:v>4.3</c:v>
                </c:pt>
                <c:pt idx="180">
                  <c:v>4.3250000000000002</c:v>
                </c:pt>
                <c:pt idx="181">
                  <c:v>4.3499999999999996</c:v>
                </c:pt>
                <c:pt idx="182">
                  <c:v>4.375</c:v>
                </c:pt>
                <c:pt idx="183">
                  <c:v>4.4000000000000004</c:v>
                </c:pt>
                <c:pt idx="184">
                  <c:v>4.4249999999999998</c:v>
                </c:pt>
                <c:pt idx="185">
                  <c:v>4.45</c:v>
                </c:pt>
                <c:pt idx="186">
                  <c:v>4.4749999999999996</c:v>
                </c:pt>
                <c:pt idx="187">
                  <c:v>4.5</c:v>
                </c:pt>
                <c:pt idx="188">
                  <c:v>4.5250000000000004</c:v>
                </c:pt>
                <c:pt idx="189">
                  <c:v>4.55</c:v>
                </c:pt>
                <c:pt idx="190">
                  <c:v>4.5750000000000002</c:v>
                </c:pt>
                <c:pt idx="191">
                  <c:v>4.5999999999999996</c:v>
                </c:pt>
                <c:pt idx="192">
                  <c:v>4.625</c:v>
                </c:pt>
                <c:pt idx="193">
                  <c:v>4.6500000000000004</c:v>
                </c:pt>
                <c:pt idx="194">
                  <c:v>4.6749999999999998</c:v>
                </c:pt>
                <c:pt idx="195">
                  <c:v>4.7</c:v>
                </c:pt>
                <c:pt idx="196">
                  <c:v>4.7249999999999996</c:v>
                </c:pt>
                <c:pt idx="197">
                  <c:v>4.75</c:v>
                </c:pt>
                <c:pt idx="198">
                  <c:v>4.7750000000000004</c:v>
                </c:pt>
                <c:pt idx="199">
                  <c:v>4.8</c:v>
                </c:pt>
                <c:pt idx="200">
                  <c:v>4.8250000000000002</c:v>
                </c:pt>
                <c:pt idx="201">
                  <c:v>4.8499999999999996</c:v>
                </c:pt>
                <c:pt idx="202">
                  <c:v>4.875</c:v>
                </c:pt>
                <c:pt idx="203">
                  <c:v>4.9000000000000004</c:v>
                </c:pt>
                <c:pt idx="204">
                  <c:v>4.9249999999999998</c:v>
                </c:pt>
                <c:pt idx="205">
                  <c:v>4.95</c:v>
                </c:pt>
                <c:pt idx="206">
                  <c:v>4.9749999999999996</c:v>
                </c:pt>
                <c:pt idx="207">
                  <c:v>4.9999998999999997</c:v>
                </c:pt>
                <c:pt idx="208">
                  <c:v>5</c:v>
                </c:pt>
                <c:pt idx="209">
                  <c:v>5.0000001000000003</c:v>
                </c:pt>
                <c:pt idx="210">
                  <c:v>5.0250000000000004</c:v>
                </c:pt>
                <c:pt idx="211">
                  <c:v>5.05</c:v>
                </c:pt>
                <c:pt idx="212">
                  <c:v>5.0750000000000002</c:v>
                </c:pt>
                <c:pt idx="213">
                  <c:v>5.0999999999999996</c:v>
                </c:pt>
                <c:pt idx="214">
                  <c:v>5.125</c:v>
                </c:pt>
                <c:pt idx="215">
                  <c:v>5.15</c:v>
                </c:pt>
                <c:pt idx="216">
                  <c:v>5.1749999999999998</c:v>
                </c:pt>
                <c:pt idx="217">
                  <c:v>5.2</c:v>
                </c:pt>
                <c:pt idx="218">
                  <c:v>5.2249999999999996</c:v>
                </c:pt>
                <c:pt idx="219">
                  <c:v>5.25</c:v>
                </c:pt>
                <c:pt idx="220">
                  <c:v>5.2750000000000004</c:v>
                </c:pt>
                <c:pt idx="221">
                  <c:v>5.3</c:v>
                </c:pt>
                <c:pt idx="222">
                  <c:v>5.3250000000000002</c:v>
                </c:pt>
                <c:pt idx="223">
                  <c:v>5.35</c:v>
                </c:pt>
                <c:pt idx="224">
                  <c:v>5.375</c:v>
                </c:pt>
                <c:pt idx="225">
                  <c:v>5.4</c:v>
                </c:pt>
                <c:pt idx="226">
                  <c:v>5.4249999999999998</c:v>
                </c:pt>
                <c:pt idx="227">
                  <c:v>5.45</c:v>
                </c:pt>
                <c:pt idx="228">
                  <c:v>5.4749999999999996</c:v>
                </c:pt>
                <c:pt idx="229">
                  <c:v>5.4999998999999997</c:v>
                </c:pt>
                <c:pt idx="230">
                  <c:v>5.5</c:v>
                </c:pt>
                <c:pt idx="231">
                  <c:v>5.5000001000000003</c:v>
                </c:pt>
                <c:pt idx="232">
                  <c:v>5.5250000000000004</c:v>
                </c:pt>
                <c:pt idx="233">
                  <c:v>5.55</c:v>
                </c:pt>
                <c:pt idx="234">
                  <c:v>5.5750000000000002</c:v>
                </c:pt>
                <c:pt idx="235">
                  <c:v>5.6</c:v>
                </c:pt>
                <c:pt idx="236">
                  <c:v>5.625</c:v>
                </c:pt>
                <c:pt idx="237">
                  <c:v>5.65</c:v>
                </c:pt>
                <c:pt idx="238">
                  <c:v>5.6749999999999998</c:v>
                </c:pt>
                <c:pt idx="239">
                  <c:v>5.7</c:v>
                </c:pt>
                <c:pt idx="240">
                  <c:v>5.7249999999999996</c:v>
                </c:pt>
                <c:pt idx="241">
                  <c:v>5.75</c:v>
                </c:pt>
                <c:pt idx="242">
                  <c:v>5.7750000000000004</c:v>
                </c:pt>
                <c:pt idx="243">
                  <c:v>5.8</c:v>
                </c:pt>
                <c:pt idx="244">
                  <c:v>5.8250000000000002</c:v>
                </c:pt>
                <c:pt idx="245">
                  <c:v>5.85</c:v>
                </c:pt>
                <c:pt idx="246">
                  <c:v>5.875</c:v>
                </c:pt>
                <c:pt idx="247">
                  <c:v>5.9</c:v>
                </c:pt>
                <c:pt idx="248">
                  <c:v>5.9249999999999998</c:v>
                </c:pt>
                <c:pt idx="249">
                  <c:v>5.95</c:v>
                </c:pt>
                <c:pt idx="250">
                  <c:v>5.9749999999999996</c:v>
                </c:pt>
                <c:pt idx="251">
                  <c:v>5.9999998999999997</c:v>
                </c:pt>
                <c:pt idx="252">
                  <c:v>6</c:v>
                </c:pt>
                <c:pt idx="253">
                  <c:v>6</c:v>
                </c:pt>
                <c:pt idx="254">
                  <c:v>0</c:v>
                </c:pt>
                <c:pt idx="255">
                  <c:v>0</c:v>
                </c:pt>
              </c:numCache>
            </c:numRef>
          </c:xVal>
          <c:yVal>
            <c:numRef>
              <c:f>[0]!DEFLECTION_list</c:f>
              <c:numCache>
                <c:formatCode>0.000</c:formatCode>
                <c:ptCount val="256"/>
                <c:pt idx="0">
                  <c:v>0</c:v>
                </c:pt>
                <c:pt idx="1">
                  <c:v>-6.2942895565904623E-7</c:v>
                </c:pt>
                <c:pt idx="2">
                  <c:v>-0.15735112198539611</c:v>
                </c:pt>
                <c:pt idx="3">
                  <c:v>-0.31466561647683822</c:v>
                </c:pt>
                <c:pt idx="4">
                  <c:v>-0.47190705970653152</c:v>
                </c:pt>
                <c:pt idx="5">
                  <c:v>-0.62903925015339945</c:v>
                </c:pt>
                <c:pt idx="6">
                  <c:v>-0.7860262085430848</c:v>
                </c:pt>
                <c:pt idx="7">
                  <c:v>-0.94283217784794848</c:v>
                </c:pt>
                <c:pt idx="8">
                  <c:v>-1.0994216232870702</c:v>
                </c:pt>
                <c:pt idx="9">
                  <c:v>-1.2557592323262492</c:v>
                </c:pt>
                <c:pt idx="10">
                  <c:v>-1.411809914678003</c:v>
                </c:pt>
                <c:pt idx="11">
                  <c:v>-1.5675388023015671</c:v>
                </c:pt>
                <c:pt idx="12">
                  <c:v>-1.7229112494028969</c:v>
                </c:pt>
                <c:pt idx="13">
                  <c:v>-1.8778928324346658</c:v>
                </c:pt>
                <c:pt idx="14">
                  <c:v>-2.0324493500962673</c:v>
                </c:pt>
                <c:pt idx="15">
                  <c:v>-2.1865468233338103</c:v>
                </c:pt>
                <c:pt idx="16">
                  <c:v>-2.3401514953401281</c:v>
                </c:pt>
                <c:pt idx="17">
                  <c:v>-2.4932298315547663</c:v>
                </c:pt>
                <c:pt idx="18">
                  <c:v>-2.6457485196639943</c:v>
                </c:pt>
                <c:pt idx="19">
                  <c:v>-2.7976744696007967</c:v>
                </c:pt>
                <c:pt idx="20">
                  <c:v>-2.9489748135448801</c:v>
                </c:pt>
                <c:pt idx="21">
                  <c:v>-3.0996169059226664</c:v>
                </c:pt>
                <c:pt idx="22">
                  <c:v>-3.2495683234072996</c:v>
                </c:pt>
                <c:pt idx="23">
                  <c:v>-3.3987968649186415</c:v>
                </c:pt>
                <c:pt idx="24">
                  <c:v>-3.5472705516232694</c:v>
                </c:pt>
                <c:pt idx="25">
                  <c:v>-3.6949576269344844</c:v>
                </c:pt>
                <c:pt idx="26">
                  <c:v>-3.8418265565123018</c:v>
                </c:pt>
                <c:pt idx="27">
                  <c:v>-3.9878460282634602</c:v>
                </c:pt>
                <c:pt idx="28">
                  <c:v>-4.1329849523414124</c:v>
                </c:pt>
                <c:pt idx="29">
                  <c:v>-4.277212461146334</c:v>
                </c:pt>
                <c:pt idx="30">
                  <c:v>-4.4204979093251149</c:v>
                </c:pt>
                <c:pt idx="31">
                  <c:v>-4.5628108737713688</c:v>
                </c:pt>
                <c:pt idx="32">
                  <c:v>-4.7041211536254242</c:v>
                </c:pt>
                <c:pt idx="33">
                  <c:v>-4.8443987702743314</c:v>
                </c:pt>
                <c:pt idx="34">
                  <c:v>-4.9836139673518582</c:v>
                </c:pt>
                <c:pt idx="35">
                  <c:v>-5.1217372107384866</c:v>
                </c:pt>
                <c:pt idx="36">
                  <c:v>-5.2587391885614254</c:v>
                </c:pt>
                <c:pt idx="37">
                  <c:v>-5.394590811194595</c:v>
                </c:pt>
                <c:pt idx="38">
                  <c:v>-5.529263211258642</c:v>
                </c:pt>
                <c:pt idx="39">
                  <c:v>-5.6627277436209251</c:v>
                </c:pt>
                <c:pt idx="40">
                  <c:v>-5.7949559853955259</c:v>
                </c:pt>
                <c:pt idx="41">
                  <c:v>-5.925919214654586</c:v>
                </c:pt>
                <c:pt idx="42">
                  <c:v>-5.9259197359432392</c:v>
                </c:pt>
                <c:pt idx="43">
                  <c:v>-5.9259202572318683</c:v>
                </c:pt>
                <c:pt idx="44">
                  <c:v>-6.0554428524047683</c:v>
                </c:pt>
                <c:pt idx="45">
                  <c:v>-6.1833494145132439</c:v>
                </c:pt>
                <c:pt idx="46">
                  <c:v>-6.3096118902216762</c:v>
                </c:pt>
                <c:pt idx="47">
                  <c:v>-6.4342029726930878</c:v>
                </c:pt>
                <c:pt idx="48">
                  <c:v>-6.5570955817821481</c:v>
                </c:pt>
                <c:pt idx="49">
                  <c:v>-6.6782628655168299</c:v>
                </c:pt>
                <c:pt idx="50">
                  <c:v>-6.7976782015800445</c:v>
                </c:pt>
                <c:pt idx="51">
                  <c:v>-6.9153151987912933</c:v>
                </c:pt>
                <c:pt idx="52">
                  <c:v>-7.031147698588307</c:v>
                </c:pt>
                <c:pt idx="53">
                  <c:v>-7.1451497765086973</c:v>
                </c:pt>
                <c:pt idx="54">
                  <c:v>-7.2572957436715972</c:v>
                </c:pt>
                <c:pt idx="55">
                  <c:v>-7.3675601482593027</c:v>
                </c:pt>
                <c:pt idx="56">
                  <c:v>-7.4759177769989238</c:v>
                </c:pt>
                <c:pt idx="57">
                  <c:v>-7.5823436566440288</c:v>
                </c:pt>
                <c:pt idx="58">
                  <c:v>-7.6868130554562839</c:v>
                </c:pt>
                <c:pt idx="59">
                  <c:v>-7.7893014846871003</c:v>
                </c:pt>
                <c:pt idx="60">
                  <c:v>-7.8897847000592831</c:v>
                </c:pt>
                <c:pt idx="61">
                  <c:v>-7.9882387032486726</c:v>
                </c:pt>
                <c:pt idx="62">
                  <c:v>-8.0846397433657842</c:v>
                </c:pt>
                <c:pt idx="63">
                  <c:v>-8.1789643184374672</c:v>
                </c:pt>
                <c:pt idx="64">
                  <c:v>-8.2711891768885337</c:v>
                </c:pt>
                <c:pt idx="65">
                  <c:v>-8.3612913190234082</c:v>
                </c:pt>
                <c:pt idx="66">
                  <c:v>-8.4492479985077829</c:v>
                </c:pt>
                <c:pt idx="67">
                  <c:v>-8.5350367238502507</c:v>
                </c:pt>
                <c:pt idx="68">
                  <c:v>-8.618635259883952</c:v>
                </c:pt>
                <c:pt idx="69">
                  <c:v>-8.7000216292482175</c:v>
                </c:pt>
                <c:pt idx="70">
                  <c:v>-8.7635230475267214</c:v>
                </c:pt>
                <c:pt idx="71">
                  <c:v>-8.763523675358833</c:v>
                </c:pt>
                <c:pt idx="72">
                  <c:v>-8.7791741296744359</c:v>
                </c:pt>
                <c:pt idx="73">
                  <c:v>-8.8560746701562341</c:v>
                </c:pt>
                <c:pt idx="74">
                  <c:v>-8.9307128973302117</c:v>
                </c:pt>
                <c:pt idx="75">
                  <c:v>-9.0030797330352623</c:v>
                </c:pt>
                <c:pt idx="76">
                  <c:v>-9.0731663643246989</c:v>
                </c:pt>
                <c:pt idx="77">
                  <c:v>-9.1409642449478845</c:v>
                </c:pt>
                <c:pt idx="78">
                  <c:v>-9.2064650968319039</c:v>
                </c:pt>
                <c:pt idx="79">
                  <c:v>-9.2696609115631876</c:v>
                </c:pt>
                <c:pt idx="80">
                  <c:v>-9.33054395186916</c:v>
                </c:pt>
                <c:pt idx="81">
                  <c:v>-9.3891067530998953</c:v>
                </c:pt>
                <c:pt idx="82">
                  <c:v>-9.4453421247097449</c:v>
                </c:pt>
                <c:pt idx="83">
                  <c:v>-9.4992431517389946</c:v>
                </c:pt>
                <c:pt idx="84">
                  <c:v>-9.5508031962955116</c:v>
                </c:pt>
                <c:pt idx="85">
                  <c:v>-9.6000158990363733</c:v>
                </c:pt>
                <c:pt idx="86">
                  <c:v>-9.6468751806495376</c:v>
                </c:pt>
                <c:pt idx="87">
                  <c:v>-9.691375243335461</c:v>
                </c:pt>
                <c:pt idx="88">
                  <c:v>-9.733510572288754</c:v>
                </c:pt>
                <c:pt idx="89">
                  <c:v>-9.7732759371798394</c:v>
                </c:pt>
                <c:pt idx="90">
                  <c:v>-9.8106663936365699</c:v>
                </c:pt>
                <c:pt idx="91">
                  <c:v>-9.8456772847258982</c:v>
                </c:pt>
                <c:pt idx="92">
                  <c:v>-9.8783042424355081</c:v>
                </c:pt>
                <c:pt idx="93">
                  <c:v>-9.908543189155461</c:v>
                </c:pt>
                <c:pt idx="94">
                  <c:v>-9.9363903391598498</c:v>
                </c:pt>
                <c:pt idx="95">
                  <c:v>-9.961842200088423</c:v>
                </c:pt>
                <c:pt idx="96">
                  <c:v>-9.9848955744282488</c:v>
                </c:pt>
                <c:pt idx="97">
                  <c:v>-10.005547560995359</c:v>
                </c:pt>
                <c:pt idx="98">
                  <c:v>-10.023795556416387</c:v>
                </c:pt>
                <c:pt idx="99">
                  <c:v>-10.039637256610206</c:v>
                </c:pt>
                <c:pt idx="100">
                  <c:v>-10.05307065826959</c:v>
                </c:pt>
                <c:pt idx="101">
                  <c:v>-10.064094060342844</c:v>
                </c:pt>
                <c:pt idx="102">
                  <c:v>-10.072706065515467</c:v>
                </c:pt>
                <c:pt idx="103">
                  <c:v>-10.078905581691764</c:v>
                </c:pt>
                <c:pt idx="104">
                  <c:v>-10.082691823476541</c:v>
                </c:pt>
                <c:pt idx="105">
                  <c:v>-10.084064313656693</c:v>
                </c:pt>
                <c:pt idx="106">
                  <c:v>-10.08302288468289</c:v>
                </c:pt>
                <c:pt idx="107">
                  <c:v>-10.079567680151211</c:v>
                </c:pt>
                <c:pt idx="108">
                  <c:v>-10.07369915628478</c:v>
                </c:pt>
                <c:pt idx="109">
                  <c:v>-10.065418083415411</c:v>
                </c:pt>
                <c:pt idx="110">
                  <c:v>-10.05472554746528</c:v>
                </c:pt>
                <c:pt idx="111">
                  <c:v>-10.041622951428518</c:v>
                </c:pt>
                <c:pt idx="112">
                  <c:v>-10.026112016852915</c:v>
                </c:pt>
                <c:pt idx="113">
                  <c:v>-10.008194785321519</c:v>
                </c:pt>
                <c:pt idx="114">
                  <c:v>-9.9878736199343034</c:v>
                </c:pt>
                <c:pt idx="115">
                  <c:v>-9.9651512067898018</c:v>
                </c:pt>
                <c:pt idx="116">
                  <c:v>-9.9400305564667644</c:v>
                </c:pt>
                <c:pt idx="117">
                  <c:v>-9.9125150055057887</c:v>
                </c:pt>
                <c:pt idx="118">
                  <c:v>-9.882608217890974</c:v>
                </c:pt>
                <c:pt idx="119">
                  <c:v>-9.8503141865315662</c:v>
                </c:pt>
                <c:pt idx="120">
                  <c:v>-9.8156372347435994</c:v>
                </c:pt>
                <c:pt idx="121">
                  <c:v>-9.7785820177315301</c:v>
                </c:pt>
                <c:pt idx="122">
                  <c:v>-9.7391535240699092</c:v>
                </c:pt>
                <c:pt idx="123">
                  <c:v>-9.6973570771849982</c:v>
                </c:pt>
                <c:pt idx="124">
                  <c:v>-9.6531983368364305</c:v>
                </c:pt>
                <c:pt idx="125">
                  <c:v>-9.6066833005988563</c:v>
                </c:pt>
                <c:pt idx="126">
                  <c:v>-9.5578183053435772</c:v>
                </c:pt>
                <c:pt idx="127">
                  <c:v>-9.506610028720198</c:v>
                </c:pt>
                <c:pt idx="128">
                  <c:v>-9.4530654906382736</c:v>
                </c:pt>
                <c:pt idx="129">
                  <c:v>-9.3971920547489418</c:v>
                </c:pt>
                <c:pt idx="130">
                  <c:v>-9.3389974299265912</c:v>
                </c:pt>
                <c:pt idx="131">
                  <c:v>-9.2784896717504832</c:v>
                </c:pt>
                <c:pt idx="132">
                  <c:v>-9.2156771839863971</c:v>
                </c:pt>
                <c:pt idx="133">
                  <c:v>-9.1505687200683017</c:v>
                </c:pt>
                <c:pt idx="134">
                  <c:v>-9.0831733845799647</c:v>
                </c:pt>
                <c:pt idx="135">
                  <c:v>-9.0135006347366247</c:v>
                </c:pt>
                <c:pt idx="136">
                  <c:v>-8.941560281866618</c:v>
                </c:pt>
                <c:pt idx="137">
                  <c:v>-8.8673624928930366</c:v>
                </c:pt>
                <c:pt idx="138">
                  <c:v>-8.7909177918153656</c:v>
                </c:pt>
                <c:pt idx="139">
                  <c:v>-8.7753604855312748</c:v>
                </c:pt>
                <c:pt idx="140">
                  <c:v>-8.7753598614388792</c:v>
                </c:pt>
                <c:pt idx="141">
                  <c:v>-8.712238072660643</c:v>
                </c:pt>
                <c:pt idx="142">
                  <c:v>-8.6313430648874405</c:v>
                </c:pt>
                <c:pt idx="143">
                  <c:v>-8.5482562099684198</c:v>
                </c:pt>
                <c:pt idx="144">
                  <c:v>-8.4630013281834255</c:v>
                </c:pt>
                <c:pt idx="145">
                  <c:v>-8.3756026042969243</c:v>
                </c:pt>
                <c:pt idx="146">
                  <c:v>-8.2860845890396355</c:v>
                </c:pt>
                <c:pt idx="147">
                  <c:v>-8.1944722005902033</c:v>
                </c:pt>
                <c:pt idx="148">
                  <c:v>-8.1007907260084533</c:v>
                </c:pt>
                <c:pt idx="149">
                  <c:v>-8.005065821411355</c:v>
                </c:pt>
                <c:pt idx="150">
                  <c:v>-7.9073235089572549</c:v>
                </c:pt>
                <c:pt idx="151">
                  <c:v>-7.8075901725727599</c:v>
                </c:pt>
                <c:pt idx="152">
                  <c:v>-7.7058925536312968</c:v>
                </c:pt>
                <c:pt idx="153">
                  <c:v>-7.602257746631623</c:v>
                </c:pt>
                <c:pt idx="154">
                  <c:v>-7.4967131948763797</c:v>
                </c:pt>
                <c:pt idx="155">
                  <c:v>-7.3892866861506192</c:v>
                </c:pt>
                <c:pt idx="156">
                  <c:v>-7.2800063484003461</c:v>
                </c:pt>
                <c:pt idx="157">
                  <c:v>-7.1689006454110515</c:v>
                </c:pt>
                <c:pt idx="158">
                  <c:v>-7.0559983724862443</c:v>
                </c:pt>
                <c:pt idx="159">
                  <c:v>-6.9413286521259963</c:v>
                </c:pt>
                <c:pt idx="160">
                  <c:v>-6.824920929705474</c:v>
                </c:pt>
                <c:pt idx="161">
                  <c:v>-6.7068049691534686</c:v>
                </c:pt>
                <c:pt idx="162">
                  <c:v>-6.58701084863094</c:v>
                </c:pt>
                <c:pt idx="163">
                  <c:v>-6.4655689562095553</c:v>
                </c:pt>
                <c:pt idx="164">
                  <c:v>-6.3425099855502118</c:v>
                </c:pt>
                <c:pt idx="165">
                  <c:v>-6.2178649315815893</c:v>
                </c:pt>
                <c:pt idx="166">
                  <c:v>-6.0916650861786703</c:v>
                </c:pt>
                <c:pt idx="167">
                  <c:v>-5.9639420338412883</c:v>
                </c:pt>
                <c:pt idx="168">
                  <c:v>-5.8347276473726559</c:v>
                </c:pt>
                <c:pt idx="169">
                  <c:v>-5.7040540835579119</c:v>
                </c:pt>
                <c:pt idx="170">
                  <c:v>-5.571953778842639</c:v>
                </c:pt>
                <c:pt idx="171">
                  <c:v>-5.4384594450114143</c:v>
                </c:pt>
                <c:pt idx="172">
                  <c:v>-5.3036040648663469</c:v>
                </c:pt>
                <c:pt idx="173">
                  <c:v>-5.1674208879055996</c:v>
                </c:pt>
                <c:pt idx="174">
                  <c:v>-5.0299434260019362</c:v>
                </c:pt>
                <c:pt idx="175">
                  <c:v>-4.8912054490812631</c:v>
                </c:pt>
                <c:pt idx="176">
                  <c:v>-4.7512409808011453</c:v>
                </c:pt>
                <c:pt idx="177">
                  <c:v>-4.6100842942293641</c:v>
                </c:pt>
                <c:pt idx="178">
                  <c:v>-4.4677699075224364</c:v>
                </c:pt>
                <c:pt idx="179">
                  <c:v>-4.3243325796041585</c:v>
                </c:pt>
                <c:pt idx="180">
                  <c:v>-4.1798073058441494</c:v>
                </c:pt>
                <c:pt idx="181">
                  <c:v>-4.0342293137363692</c:v>
                </c:pt>
                <c:pt idx="182">
                  <c:v>-3.8876340585776692</c:v>
                </c:pt>
                <c:pt idx="183">
                  <c:v>-3.7400572191463217</c:v>
                </c:pt>
                <c:pt idx="184">
                  <c:v>-3.5915346933805603</c:v>
                </c:pt>
                <c:pt idx="185">
                  <c:v>-3.4421025940571108</c:v>
                </c:pt>
                <c:pt idx="186">
                  <c:v>-3.2917972444697297</c:v>
                </c:pt>
                <c:pt idx="187">
                  <c:v>-3.1406551741077444</c:v>
                </c:pt>
                <c:pt idx="188">
                  <c:v>-2.9887131143345798</c:v>
                </c:pt>
                <c:pt idx="189">
                  <c:v>-2.8360079940663021</c:v>
                </c:pt>
                <c:pt idx="190">
                  <c:v>-2.6825769354501547</c:v>
                </c:pt>
                <c:pt idx="191">
                  <c:v>-2.5284572495430879</c:v>
                </c:pt>
                <c:pt idx="192">
                  <c:v>-2.3736864319903006</c:v>
                </c:pt>
                <c:pt idx="193">
                  <c:v>-2.218302158703775</c:v>
                </c:pt>
                <c:pt idx="194">
                  <c:v>-2.0623422815408117</c:v>
                </c:pt>
                <c:pt idx="195">
                  <c:v>-1.9058448239825678</c:v>
                </c:pt>
                <c:pt idx="196">
                  <c:v>-1.7488479768125902</c:v>
                </c:pt>
                <c:pt idx="197">
                  <c:v>-1.5913900937953527</c:v>
                </c:pt>
                <c:pt idx="198">
                  <c:v>-1.4335096873547928</c:v>
                </c:pt>
                <c:pt idx="199">
                  <c:v>-1.2752454242528461</c:v>
                </c:pt>
                <c:pt idx="200">
                  <c:v>-1.1166361212679847</c:v>
                </c:pt>
                <c:pt idx="201">
                  <c:v>-0.95772074087375292</c:v>
                </c:pt>
                <c:pt idx="202">
                  <c:v>-0.79853838691729873</c:v>
                </c:pt>
                <c:pt idx="203">
                  <c:v>-0.6391283002979159</c:v>
                </c:pt>
                <c:pt idx="204">
                  <c:v>-0.47952985464557712</c:v>
                </c:pt>
                <c:pt idx="205">
                  <c:v>-0.31978255199946976</c:v>
                </c:pt>
                <c:pt idx="206">
                  <c:v>-0.1599260184865329</c:v>
                </c:pt>
                <c:pt idx="207">
                  <c:v>-6.3978992631913235E-7</c:v>
                </c:pt>
                <c:pt idx="208">
                  <c:v>6.5780714209040525E-15</c:v>
                </c:pt>
                <c:pt idx="209">
                  <c:v>6.3978993459112345E-7</c:v>
                </c:pt>
                <c:pt idx="210">
                  <c:v>0.15996439410270222</c:v>
                </c:pt>
                <c:pt idx="211">
                  <c:v>0.31997095095452815</c:v>
                </c:pt>
                <c:pt idx="212">
                  <c:v>0.48003210132377294</c:v>
                </c:pt>
                <c:pt idx="213">
                  <c:v>0.64016017041154016</c:v>
                </c:pt>
                <c:pt idx="214">
                  <c:v>0.80036738062982637</c:v>
                </c:pt>
                <c:pt idx="215">
                  <c:v>0.96066585437960361</c:v>
                </c:pt>
                <c:pt idx="216">
                  <c:v>1.121067616828906</c:v>
                </c:pt>
                <c:pt idx="217">
                  <c:v>1.2815845986909105</c:v>
                </c:pt>
                <c:pt idx="218">
                  <c:v>1.4422286390020245</c:v>
                </c:pt>
                <c:pt idx="219">
                  <c:v>1.6030114878999664</c:v>
                </c:pt>
                <c:pt idx="220">
                  <c:v>1.7639448094018517</c:v>
                </c:pt>
                <c:pt idx="221">
                  <c:v>1.9250401841822762</c:v>
                </c:pt>
                <c:pt idx="222">
                  <c:v>2.0863091123514002</c:v>
                </c:pt>
                <c:pt idx="223">
                  <c:v>2.2477630162330318</c:v>
                </c:pt>
                <c:pt idx="224">
                  <c:v>2.4094132431427133</c:v>
                </c:pt>
                <c:pt idx="225">
                  <c:v>2.5712710681658013</c:v>
                </c:pt>
                <c:pt idx="226">
                  <c:v>2.7333476969355539</c:v>
                </c:pt>
                <c:pt idx="227">
                  <c:v>2.8956542684112141</c:v>
                </c:pt>
                <c:pt idx="228">
                  <c:v>3.0582018576560919</c:v>
                </c:pt>
                <c:pt idx="229">
                  <c:v>3.2210008268984782</c:v>
                </c:pt>
                <c:pt idx="230">
                  <c:v>3.2210014786156509</c:v>
                </c:pt>
                <c:pt idx="231">
                  <c:v>3.221002130332828</c:v>
                </c:pt>
                <c:pt idx="232">
                  <c:v>3.3840626052507981</c:v>
                </c:pt>
                <c:pt idx="233">
                  <c:v>3.5473887293815953</c:v>
                </c:pt>
                <c:pt idx="234">
                  <c:v>3.7109818083997164</c:v>
                </c:pt>
                <c:pt idx="235">
                  <c:v>3.8748437496913235</c:v>
                </c:pt>
                <c:pt idx="236">
                  <c:v>4.0389764134151518</c:v>
                </c:pt>
                <c:pt idx="237">
                  <c:v>4.2033816152805912</c:v>
                </c:pt>
                <c:pt idx="238">
                  <c:v>4.3680611293257723</c:v>
                </c:pt>
                <c:pt idx="239">
                  <c:v>4.5330166906956526</c:v>
                </c:pt>
                <c:pt idx="240">
                  <c:v>4.6982499984200938</c:v>
                </c:pt>
                <c:pt idx="241">
                  <c:v>4.8637627181919498</c:v>
                </c:pt>
                <c:pt idx="242">
                  <c:v>5.0295564851451564</c:v>
                </c:pt>
                <c:pt idx="243">
                  <c:v>5.1956329066328024</c:v>
                </c:pt>
                <c:pt idx="244">
                  <c:v>5.3619935650052257</c:v>
                </c:pt>
                <c:pt idx="245">
                  <c:v>5.5286400203880905</c:v>
                </c:pt>
                <c:pt idx="246">
                  <c:v>5.6955738134604728</c:v>
                </c:pt>
                <c:pt idx="247">
                  <c:v>5.8627964682329425</c:v>
                </c:pt>
                <c:pt idx="248">
                  <c:v>6.0303094948256568</c:v>
                </c:pt>
                <c:pt idx="249">
                  <c:v>6.1981143922464259</c:v>
                </c:pt>
                <c:pt idx="250">
                  <c:v>6.366212651168822</c:v>
                </c:pt>
                <c:pt idx="251">
                  <c:v>6.5346050825461468</c:v>
                </c:pt>
                <c:pt idx="252">
                  <c:v>6.5346057567102376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B-417A-B2D5-8D5C2107BB2F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E0030B-4C93-444C-9FE0-5E485EB30A7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CF-4903-8209-6B5CA185DC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AEC80A-263D-4990-A88F-9BB057B545A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CF-4903-8209-6B5CA185DC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ACCD17-4ADC-4A5B-8809-89C39F1A057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CF-4903-8209-6B5CA185DC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3C0986-1E19-4A35-A7B5-4F2947FCF9D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CF-4903-8209-6B5CA185DC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7E81F1-2A24-45D0-8CDB-F1978D19445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CF-4903-8209-6B5CA185DC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5DB3C9-F576-4826-AECE-B900A5CFEDA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CF-4903-8209-6B5CA185DC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811E35-E2B0-432C-A76C-41C5A352D1B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CF-4903-8209-6B5CA185DC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2238C1-3E7F-4739-8A7A-AF3C89BB972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CF-4903-8209-6B5CA185DC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19E22D-28AC-4612-A9D0-BA5A203ED74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28-465E-A0C8-6B7886DE18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EA9917-1E22-46DB-90CE-B2E3C706208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28-465E-A0C8-6B7886DE18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BA5215-9144-4D44-921C-8C4291A6251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C-4A19-9CE9-280D6BD580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921BBB-0BE4-460C-9EB2-2599072254C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C5-45C4-9A90-82164F2331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51A4FA-BBE6-4495-A4AC-5ECCBC7BDF2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C5-45C4-9A90-82164F2331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xVal>
            <c:numRef>
              <c:f>[0]!LABELS_X</c:f>
              <c:numCache>
                <c:formatCode>0.00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3"/>
                  <c:pt idx="0">
                    <c:v>0.00</c:v>
                  </c:pt>
                  <c:pt idx="1">
                    <c:v>0.50</c:v>
                  </c:pt>
                  <c:pt idx="2">
                    <c:v>1.00</c:v>
                  </c:pt>
                  <c:pt idx="3">
                    <c:v>1.50</c:v>
                  </c:pt>
                  <c:pt idx="4">
                    <c:v>2.00</c:v>
                  </c:pt>
                  <c:pt idx="5">
                    <c:v>2.50</c:v>
                  </c:pt>
                  <c:pt idx="6">
                    <c:v>3.00</c:v>
                  </c:pt>
                  <c:pt idx="7">
                    <c:v>3.50</c:v>
                  </c:pt>
                  <c:pt idx="8">
                    <c:v>4.00</c:v>
                  </c:pt>
                  <c:pt idx="9">
                    <c:v>4.50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BCF-4903-8209-6B5CA185DC71}"/>
            </c:ext>
          </c:extLst>
        </c:ser>
        <c:ser>
          <c:idx val="2"/>
          <c:order val="2"/>
          <c:tx>
            <c:v>MIN/MAX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28-465E-A0C8-6B7886DE180F}"/>
                </c:ext>
              </c:extLst>
            </c:dLbl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EC-4A19-9CE9-280D6BD5805B}"/>
                </c:ext>
              </c:extLst>
            </c:dLbl>
            <c:dLbl>
              <c:idx val="4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EC-4A19-9CE9-280D6BD5805B}"/>
                </c:ext>
              </c:extLst>
            </c:dLbl>
            <c:dLbl>
              <c:idx val="6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EC-4443-9E46-09C13F6430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Sheet1!$L$50:$L$56</c:f>
              <c:numCache>
                <c:formatCode>0.000</c:formatCode>
                <c:ptCount val="7"/>
                <c:pt idx="0">
                  <c:v>6</c:v>
                </c:pt>
                <c:pt idx="1">
                  <c:v>2.5</c:v>
                </c:pt>
                <c:pt idx="2">
                  <c:v>#N/A</c:v>
                </c:pt>
                <c:pt idx="3">
                  <c:v>6</c:v>
                </c:pt>
                <c:pt idx="4">
                  <c:v>#N/A</c:v>
                </c:pt>
                <c:pt idx="5">
                  <c:v>#N/A</c:v>
                </c:pt>
                <c:pt idx="6">
                  <c:v>2.5</c:v>
                </c:pt>
              </c:numCache>
            </c:numRef>
          </c:xVal>
          <c:yVal>
            <c:numRef>
              <c:f>Sheet1!$M$50:$M$56</c:f>
              <c:numCache>
                <c:formatCode>0.00" mm"</c:formatCode>
                <c:ptCount val="7"/>
                <c:pt idx="0">
                  <c:v>6.5346057567102376</c:v>
                </c:pt>
                <c:pt idx="1">
                  <c:v>-10.084064313656693</c:v>
                </c:pt>
                <c:pt idx="2">
                  <c:v>#N/A</c:v>
                </c:pt>
                <c:pt idx="3">
                  <c:v>6.5346057567102376</c:v>
                </c:pt>
                <c:pt idx="4">
                  <c:v>#N/A</c:v>
                </c:pt>
                <c:pt idx="5">
                  <c:v>#N/A</c:v>
                </c:pt>
                <c:pt idx="6">
                  <c:v>-10.084064313656693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28-465E-A0C8-6B7886DE180F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44-43A5-825A-36DD26173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DEFLECTION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348520360962598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121072</xdr:colOff>
      <xdr:row>25</xdr:row>
      <xdr:rowOff>91586</xdr:rowOff>
    </xdr:from>
    <xdr:to>
      <xdr:col>8</xdr:col>
      <xdr:colOff>470831</xdr:colOff>
      <xdr:row>63</xdr:row>
      <xdr:rowOff>18130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DC79F69-0AE9-483E-A397-6776C73654BB}"/>
            </a:ext>
          </a:extLst>
        </xdr:cNvPr>
        <xdr:cNvGrpSpPr/>
      </xdr:nvGrpSpPr>
      <xdr:grpSpPr>
        <a:xfrm>
          <a:off x="788429" y="4338401"/>
          <a:ext cx="5021256" cy="6381704"/>
          <a:chOff x="788429" y="4338401"/>
          <a:chExt cx="5021256" cy="6381704"/>
        </a:xfrm>
      </xdr:grpSpPr>
      <xdr:graphicFrame macro="">
        <xdr:nvGraphicFramePr>
          <xdr:cNvPr id="2" name="moment_chart">
            <a:extLst>
              <a:ext uri="{FF2B5EF4-FFF2-40B4-BE49-F238E27FC236}">
                <a16:creationId xmlns:a16="http://schemas.microsoft.com/office/drawing/2014/main" id="{4505BB02-4269-4F13-A5F8-6B4E7A27CCD9}"/>
              </a:ext>
            </a:extLst>
          </xdr:cNvPr>
          <xdr:cNvGraphicFramePr/>
        </xdr:nvGraphicFramePr>
        <xdr:xfrm>
          <a:off x="788429" y="4338401"/>
          <a:ext cx="5021256" cy="21480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shear_chart">
            <a:extLst>
              <a:ext uri="{FF2B5EF4-FFF2-40B4-BE49-F238E27FC236}">
                <a16:creationId xmlns:a16="http://schemas.microsoft.com/office/drawing/2014/main" id="{11B233D9-9246-4F80-BBEB-5945EB73167F}"/>
              </a:ext>
            </a:extLst>
          </xdr:cNvPr>
          <xdr:cNvGraphicFramePr>
            <a:graphicFrameLocks/>
          </xdr:cNvGraphicFramePr>
        </xdr:nvGraphicFramePr>
        <xdr:xfrm>
          <a:off x="788429" y="6457085"/>
          <a:ext cx="5021256" cy="21466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" name="defl_chart">
            <a:extLst>
              <a:ext uri="{FF2B5EF4-FFF2-40B4-BE49-F238E27FC236}">
                <a16:creationId xmlns:a16="http://schemas.microsoft.com/office/drawing/2014/main" id="{74AF9E27-3E1E-45D6-9948-BE0F0AB3DB18}"/>
              </a:ext>
            </a:extLst>
          </xdr:cNvPr>
          <xdr:cNvGraphicFramePr>
            <a:graphicFrameLocks/>
          </xdr:cNvGraphicFramePr>
        </xdr:nvGraphicFramePr>
        <xdr:xfrm>
          <a:off x="788429" y="8572071"/>
          <a:ext cx="5021256" cy="21480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3ACE-EEAF-42A5-9393-5A5A6773AB27}">
  <sheetPr codeName="Sheet1"/>
  <dimension ref="A1:T258"/>
  <sheetViews>
    <sheetView tabSelected="1" view="pageBreakPreview" zoomScale="157" zoomScaleNormal="260" zoomScaleSheetLayoutView="265" workbookViewId="0">
      <selection activeCell="B3" sqref="B3"/>
    </sheetView>
  </sheetViews>
  <sheetFormatPr defaultRowHeight="13.5" customHeight="1" x14ac:dyDescent="0.2"/>
  <cols>
    <col min="1" max="14" width="11.6640625" style="1" customWidth="1"/>
    <col min="15" max="19" width="11.6640625" style="11" customWidth="1"/>
    <col min="20" max="22" width="11.6640625" style="1" customWidth="1"/>
    <col min="23" max="16384" width="9.33203125" style="1"/>
  </cols>
  <sheetData>
    <row r="1" spans="1:20" ht="13.5" customHeight="1" x14ac:dyDescent="0.2">
      <c r="A1" s="14" t="s">
        <v>25</v>
      </c>
      <c r="G1" s="14" t="s">
        <v>30</v>
      </c>
      <c r="S1" s="1" t="s">
        <v>13</v>
      </c>
    </row>
    <row r="2" spans="1:20" ht="13.5" customHeight="1" x14ac:dyDescent="0.2">
      <c r="A2" s="3" t="s">
        <v>14</v>
      </c>
      <c r="B2" s="3" t="s">
        <v>15</v>
      </c>
      <c r="C2" s="10" t="s">
        <v>18</v>
      </c>
      <c r="D2" s="2" t="s">
        <v>7</v>
      </c>
      <c r="E2" s="2" t="s">
        <v>8</v>
      </c>
      <c r="G2" s="26" t="s">
        <v>29</v>
      </c>
      <c r="O2" s="6" t="s">
        <v>9</v>
      </c>
      <c r="P2" s="6" t="s">
        <v>10</v>
      </c>
      <c r="Q2" s="6" t="s">
        <v>11</v>
      </c>
      <c r="R2" s="12" t="s">
        <v>12</v>
      </c>
      <c r="S2" s="1" t="s">
        <v>9</v>
      </c>
      <c r="T2" s="1" t="s">
        <v>20</v>
      </c>
    </row>
    <row r="3" spans="1:20" ht="13.5" customHeight="1" x14ac:dyDescent="0.2">
      <c r="A3" s="15">
        <v>5</v>
      </c>
      <c r="B3" s="15">
        <v>1</v>
      </c>
      <c r="C3" s="16">
        <v>2.5000000000000001E-2</v>
      </c>
      <c r="D3" s="17">
        <v>205000</v>
      </c>
      <c r="E3" s="18">
        <f>190^3/12*45</f>
        <v>25721250</v>
      </c>
      <c r="G3" s="26" t="s">
        <v>31</v>
      </c>
      <c r="O3" s="11" cm="1">
        <f t="array" ref="O3:R258">BEAM_analysis(analysis_step,L_main,L_cant,E_beam,I_beam,main_span_UDL_data,main_span_pt_load_data,main_span_pt_moment_data,cant_span_UDL_data,cant_span_pt_load_data,cant_span_pt_moment_data,TRUE,FALSE)</f>
        <v>0</v>
      </c>
      <c r="P3" s="11">
        <v>0</v>
      </c>
      <c r="Q3" s="11">
        <v>12.404166666666667</v>
      </c>
      <c r="R3" s="11">
        <v>0</v>
      </c>
      <c r="S3" s="5" cm="1">
        <f t="array" ref="S3:S15">_xlfn.LET(_xlpm.L_beam,A3+B3,_xlpm.X,1+CEILING((_xlpm.L_beam)/0.5,1),_xlpm.SEQ,_xlfn.SEQUENCE(_xlpm.X,1,0,0.5),IF(_xlpm.SEQ&gt;_xlpm.L_beam,_xlpm.L_beam,_xlpm.SEQ))</f>
        <v>0</v>
      </c>
      <c r="T3" s="1" cm="1">
        <f t="array" ref="T3:T15">_xlfn.LET(_xlpm.L_beam,A3+B3,_xlpm.X,1+CEILING((_xlpm.L_beam)/0.5,1),_xlfn.SEQUENCE(_xlpm.X,1,0,0))</f>
        <v>0</v>
      </c>
    </row>
    <row r="4" spans="1:20" ht="13.5" customHeight="1" x14ac:dyDescent="0.2">
      <c r="O4" s="11">
        <v>9.9999999999999995E-8</v>
      </c>
      <c r="P4" s="11">
        <v>1.2404166516666668E-6</v>
      </c>
      <c r="Q4" s="11">
        <v>12.404166366666667</v>
      </c>
      <c r="R4" s="11">
        <v>-6.2942895565904623E-7</v>
      </c>
      <c r="S4" s="5">
        <v>0.5</v>
      </c>
      <c r="T4" s="1">
        <v>0</v>
      </c>
    </row>
    <row r="5" spans="1:20" ht="13.5" customHeight="1" x14ac:dyDescent="0.2">
      <c r="A5" s="14" t="s">
        <v>5</v>
      </c>
      <c r="O5" s="11">
        <v>2.5000000000000001E-2</v>
      </c>
      <c r="P5" s="11">
        <v>0.30916666666666665</v>
      </c>
      <c r="Q5" s="11">
        <v>12.329166666666666</v>
      </c>
      <c r="R5" s="11">
        <v>-0.15735112198539611</v>
      </c>
      <c r="S5" s="5">
        <v>1</v>
      </c>
      <c r="T5" s="1">
        <v>0</v>
      </c>
    </row>
    <row r="6" spans="1:20" ht="13.5" customHeight="1" x14ac:dyDescent="0.2">
      <c r="A6" s="2" t="s">
        <v>0</v>
      </c>
      <c r="B6" s="2" t="s">
        <v>1</v>
      </c>
      <c r="C6" s="2" t="s">
        <v>2</v>
      </c>
      <c r="D6" s="2" t="s">
        <v>3</v>
      </c>
      <c r="O6" s="11">
        <v>0.05</v>
      </c>
      <c r="P6" s="11">
        <v>0.61645833333333333</v>
      </c>
      <c r="Q6" s="11">
        <v>12.254166666666666</v>
      </c>
      <c r="R6" s="11">
        <v>-0.31466561647683822</v>
      </c>
      <c r="S6" s="5">
        <v>1.5</v>
      </c>
      <c r="T6" s="1">
        <v>0</v>
      </c>
    </row>
    <row r="7" spans="1:20" ht="13.5" customHeight="1" x14ac:dyDescent="0.2">
      <c r="A7" s="19">
        <v>-3</v>
      </c>
      <c r="B7" s="19">
        <v>-3</v>
      </c>
      <c r="C7" s="20">
        <v>0</v>
      </c>
      <c r="D7" s="20">
        <v>1</v>
      </c>
      <c r="O7" s="11">
        <v>7.4999999999999997E-2</v>
      </c>
      <c r="P7" s="11">
        <v>0.92187500000000011</v>
      </c>
      <c r="Q7" s="11">
        <v>12.179166666666667</v>
      </c>
      <c r="R7" s="11">
        <v>-0.47190705970653152</v>
      </c>
      <c r="S7" s="5">
        <v>2</v>
      </c>
      <c r="T7" s="1">
        <v>0</v>
      </c>
    </row>
    <row r="8" spans="1:20" ht="13.5" customHeight="1" x14ac:dyDescent="0.2">
      <c r="A8" s="19">
        <v>-3</v>
      </c>
      <c r="B8" s="19">
        <v>-5</v>
      </c>
      <c r="C8" s="20">
        <v>1</v>
      </c>
      <c r="D8" s="20">
        <v>3.5</v>
      </c>
      <c r="O8" s="11">
        <v>0.1</v>
      </c>
      <c r="P8" s="11">
        <v>1.2254166666666666</v>
      </c>
      <c r="Q8" s="11">
        <v>12.104166666666666</v>
      </c>
      <c r="R8" s="11">
        <v>-0.62903925015339945</v>
      </c>
      <c r="S8" s="5">
        <v>2.5</v>
      </c>
      <c r="T8" s="1">
        <v>0</v>
      </c>
    </row>
    <row r="9" spans="1:20" ht="13.5" customHeight="1" x14ac:dyDescent="0.2">
      <c r="A9" s="19">
        <v>-5</v>
      </c>
      <c r="B9" s="19">
        <v>-1.5</v>
      </c>
      <c r="C9" s="20">
        <v>3.5</v>
      </c>
      <c r="D9" s="20">
        <v>5</v>
      </c>
      <c r="O9" s="11">
        <v>0.125</v>
      </c>
      <c r="P9" s="11">
        <v>1.5270833333333333</v>
      </c>
      <c r="Q9" s="11">
        <v>12.029166666666667</v>
      </c>
      <c r="R9" s="11">
        <v>-0.7860262085430848</v>
      </c>
      <c r="S9" s="5">
        <v>3</v>
      </c>
      <c r="T9" s="1">
        <v>0</v>
      </c>
    </row>
    <row r="10" spans="1:20" ht="13.5" customHeight="1" x14ac:dyDescent="0.2">
      <c r="O10" s="11">
        <v>0.15</v>
      </c>
      <c r="P10" s="11">
        <v>1.826875</v>
      </c>
      <c r="Q10" s="11">
        <v>11.954166666666666</v>
      </c>
      <c r="R10" s="11">
        <v>-0.94283217784794848</v>
      </c>
      <c r="S10" s="5">
        <v>3.5</v>
      </c>
      <c r="T10" s="1">
        <v>0</v>
      </c>
    </row>
    <row r="11" spans="1:20" ht="13.5" customHeight="1" x14ac:dyDescent="0.2">
      <c r="A11" s="3" t="s">
        <v>4</v>
      </c>
      <c r="B11" s="3" t="s">
        <v>2</v>
      </c>
      <c r="D11" s="3" t="s">
        <v>28</v>
      </c>
      <c r="E11" s="3" t="s">
        <v>2</v>
      </c>
      <c r="O11" s="11">
        <v>0.17499999999999999</v>
      </c>
      <c r="P11" s="11">
        <v>2.1247916666666664</v>
      </c>
      <c r="Q11" s="11">
        <v>11.879166666666666</v>
      </c>
      <c r="R11" s="11">
        <v>-1.0994216232870702</v>
      </c>
      <c r="S11" s="5">
        <v>4</v>
      </c>
      <c r="T11" s="1">
        <v>0</v>
      </c>
    </row>
    <row r="12" spans="1:20" ht="13.5" customHeight="1" x14ac:dyDescent="0.2">
      <c r="A12" s="21">
        <v>-4</v>
      </c>
      <c r="B12" s="15">
        <v>1.67</v>
      </c>
      <c r="D12" s="23">
        <v>2.5</v>
      </c>
      <c r="E12" s="15">
        <v>1</v>
      </c>
      <c r="G12" s="25"/>
      <c r="O12" s="11">
        <v>0.2</v>
      </c>
      <c r="P12" s="11">
        <v>2.4208333333333334</v>
      </c>
      <c r="Q12" s="11">
        <v>11.804166666666667</v>
      </c>
      <c r="R12" s="11">
        <v>-1.2557592323262492</v>
      </c>
      <c r="S12" s="5">
        <v>4.5</v>
      </c>
      <c r="T12" s="1">
        <v>0</v>
      </c>
    </row>
    <row r="13" spans="1:20" ht="13.5" customHeight="1" x14ac:dyDescent="0.2">
      <c r="A13" s="21">
        <v>-4</v>
      </c>
      <c r="B13" s="15">
        <v>3.33</v>
      </c>
      <c r="D13" s="23"/>
      <c r="E13" s="15"/>
      <c r="O13" s="11">
        <v>0.22500000000000001</v>
      </c>
      <c r="P13" s="11">
        <v>2.7150000000000003</v>
      </c>
      <c r="Q13" s="11">
        <v>11.729166666666666</v>
      </c>
      <c r="R13" s="11">
        <v>-1.411809914678003</v>
      </c>
      <c r="S13" s="5">
        <v>5</v>
      </c>
      <c r="T13" s="1">
        <v>0</v>
      </c>
    </row>
    <row r="14" spans="1:20" ht="13.5" customHeight="1" x14ac:dyDescent="0.2">
      <c r="A14" s="22"/>
      <c r="B14" s="20"/>
      <c r="D14" s="24"/>
      <c r="E14" s="20"/>
      <c r="O14" s="11">
        <v>0.25</v>
      </c>
      <c r="P14" s="11">
        <v>3.0072916666666667</v>
      </c>
      <c r="Q14" s="11">
        <v>11.654166666666667</v>
      </c>
      <c r="R14" s="11">
        <v>-1.5675388023015671</v>
      </c>
      <c r="S14" s="5">
        <v>5.5</v>
      </c>
      <c r="T14" s="1">
        <v>0</v>
      </c>
    </row>
    <row r="15" spans="1:20" ht="13.5" customHeight="1" x14ac:dyDescent="0.2">
      <c r="O15" s="11">
        <v>0.27500000000000002</v>
      </c>
      <c r="P15" s="11">
        <v>3.2977083333333339</v>
      </c>
      <c r="Q15" s="11">
        <v>11.579166666666666</v>
      </c>
      <c r="R15" s="11">
        <v>-1.7229112494028969</v>
      </c>
      <c r="S15" s="5">
        <v>6</v>
      </c>
      <c r="T15" s="1">
        <v>0</v>
      </c>
    </row>
    <row r="16" spans="1:20" ht="13.5" customHeight="1" x14ac:dyDescent="0.2">
      <c r="A16" s="14" t="s">
        <v>6</v>
      </c>
      <c r="O16" s="11">
        <v>0.3</v>
      </c>
      <c r="P16" s="11">
        <v>3.5862500000000002</v>
      </c>
      <c r="Q16" s="11">
        <v>11.504166666666666</v>
      </c>
      <c r="R16" s="11">
        <v>-1.8778928324346658</v>
      </c>
      <c r="S16" s="5"/>
    </row>
    <row r="17" spans="1:20" ht="13.5" customHeight="1" x14ac:dyDescent="0.2">
      <c r="A17" s="2" t="s">
        <v>0</v>
      </c>
      <c r="B17" s="2" t="s">
        <v>1</v>
      </c>
      <c r="C17" s="2" t="s">
        <v>2</v>
      </c>
      <c r="D17" s="2" t="s">
        <v>3</v>
      </c>
      <c r="O17" s="11">
        <v>0.32500000000000001</v>
      </c>
      <c r="P17" s="11">
        <v>3.8729166666666668</v>
      </c>
      <c r="Q17" s="11">
        <v>11.429166666666667</v>
      </c>
      <c r="R17" s="11">
        <v>-2.0324493500962673</v>
      </c>
      <c r="S17" s="5"/>
    </row>
    <row r="18" spans="1:20" ht="13.5" customHeight="1" x14ac:dyDescent="0.2">
      <c r="A18" s="19">
        <v>-1.5</v>
      </c>
      <c r="B18" s="19">
        <v>0</v>
      </c>
      <c r="C18" s="20">
        <v>0</v>
      </c>
      <c r="D18" s="20">
        <v>1</v>
      </c>
      <c r="O18" s="11">
        <v>0.35</v>
      </c>
      <c r="P18" s="11">
        <v>4.1577083333333329</v>
      </c>
      <c r="Q18" s="11">
        <v>11.354166666666666</v>
      </c>
      <c r="R18" s="11">
        <v>-2.1865468233338103</v>
      </c>
      <c r="S18" s="5"/>
    </row>
    <row r="19" spans="1:20" ht="13.5" customHeight="1" x14ac:dyDescent="0.2">
      <c r="A19" s="19"/>
      <c r="B19" s="19"/>
      <c r="C19" s="20"/>
      <c r="D19" s="20"/>
      <c r="O19" s="11">
        <v>0.375</v>
      </c>
      <c r="P19" s="11">
        <v>4.4406250000000007</v>
      </c>
      <c r="Q19" s="11">
        <v>11.279166666666667</v>
      </c>
      <c r="R19" s="11">
        <v>-2.3401514953401281</v>
      </c>
      <c r="S19" s="5"/>
    </row>
    <row r="20" spans="1:20" ht="13.5" customHeight="1" x14ac:dyDescent="0.2">
      <c r="A20" s="19"/>
      <c r="B20" s="19"/>
      <c r="C20" s="20"/>
      <c r="D20" s="20"/>
      <c r="O20" s="11">
        <v>0.4</v>
      </c>
      <c r="P20" s="11">
        <v>4.7216666666666667</v>
      </c>
      <c r="Q20" s="11">
        <v>11.204166666666666</v>
      </c>
      <c r="R20" s="11">
        <v>-2.4932298315547663</v>
      </c>
      <c r="T20" s="5"/>
    </row>
    <row r="21" spans="1:20" ht="13.5" customHeight="1" x14ac:dyDescent="0.2">
      <c r="O21" s="11">
        <v>0.42499999999999999</v>
      </c>
      <c r="P21" s="11">
        <v>5.0008333333333326</v>
      </c>
      <c r="Q21" s="11">
        <v>11.129166666666666</v>
      </c>
      <c r="R21" s="11">
        <v>-2.6457485196639943</v>
      </c>
      <c r="T21" s="5"/>
    </row>
    <row r="22" spans="1:20" ht="13.5" customHeight="1" x14ac:dyDescent="0.2">
      <c r="A22" s="2" t="s">
        <v>4</v>
      </c>
      <c r="B22" s="2" t="s">
        <v>2</v>
      </c>
      <c r="D22" s="3" t="s">
        <v>28</v>
      </c>
      <c r="E22" s="3" t="s">
        <v>2</v>
      </c>
      <c r="O22" s="11">
        <v>0.45</v>
      </c>
      <c r="P22" s="11">
        <v>5.2781250000000002</v>
      </c>
      <c r="Q22" s="11">
        <v>11.054166666666667</v>
      </c>
      <c r="R22" s="11">
        <v>-2.7976744696007967</v>
      </c>
    </row>
    <row r="23" spans="1:20" ht="13.5" customHeight="1" x14ac:dyDescent="0.2">
      <c r="A23" s="21">
        <v>-3</v>
      </c>
      <c r="B23" s="15">
        <v>0.5</v>
      </c>
      <c r="D23" s="23">
        <v>-2.5</v>
      </c>
      <c r="E23" s="15">
        <v>1</v>
      </c>
      <c r="O23" s="11">
        <v>0.47499999999999998</v>
      </c>
      <c r="P23" s="11">
        <v>5.5535416666666668</v>
      </c>
      <c r="Q23" s="11">
        <v>10.979166666666666</v>
      </c>
      <c r="R23" s="11">
        <v>-2.9489748135448801</v>
      </c>
    </row>
    <row r="24" spans="1:20" ht="13.5" customHeight="1" x14ac:dyDescent="0.2">
      <c r="A24" s="21">
        <v>-0.5</v>
      </c>
      <c r="B24" s="15">
        <v>1</v>
      </c>
      <c r="D24" s="23"/>
      <c r="E24" s="15"/>
      <c r="O24" s="11">
        <v>0.5</v>
      </c>
      <c r="P24" s="11">
        <v>5.8270833333333334</v>
      </c>
      <c r="Q24" s="11">
        <v>10.904166666666667</v>
      </c>
      <c r="R24" s="11">
        <v>-3.0996169059226664</v>
      </c>
    </row>
    <row r="25" spans="1:20" ht="13.5" customHeight="1" x14ac:dyDescent="0.2">
      <c r="A25" s="22"/>
      <c r="B25" s="20"/>
      <c r="D25" s="24"/>
      <c r="E25" s="20"/>
      <c r="O25" s="11">
        <v>0.52500000000000002</v>
      </c>
      <c r="P25" s="11">
        <v>6.0987499999999999</v>
      </c>
      <c r="Q25" s="11">
        <v>10.829166666666666</v>
      </c>
      <c r="R25" s="11">
        <v>-3.2495683234072996</v>
      </c>
    </row>
    <row r="26" spans="1:20" ht="13.5" customHeight="1" x14ac:dyDescent="0.2">
      <c r="O26" s="11">
        <v>0.55000000000000004</v>
      </c>
      <c r="P26" s="11">
        <v>6.3685416666666681</v>
      </c>
      <c r="Q26" s="11">
        <v>10.754166666666666</v>
      </c>
      <c r="R26" s="11">
        <v>-3.3987968649186415</v>
      </c>
    </row>
    <row r="27" spans="1:20" ht="13.5" customHeight="1" x14ac:dyDescent="0.2">
      <c r="O27" s="11">
        <v>0.57499999999999996</v>
      </c>
      <c r="P27" s="11">
        <v>6.6364583333333345</v>
      </c>
      <c r="Q27" s="11">
        <v>10.679166666666667</v>
      </c>
      <c r="R27" s="11">
        <v>-3.5472705516232694</v>
      </c>
    </row>
    <row r="28" spans="1:20" ht="13.5" customHeight="1" x14ac:dyDescent="0.2">
      <c r="O28" s="11">
        <v>0.6</v>
      </c>
      <c r="P28" s="11">
        <v>6.9025000000000007</v>
      </c>
      <c r="Q28" s="11">
        <v>10.604166666666666</v>
      </c>
      <c r="R28" s="11">
        <v>-3.6949576269344844</v>
      </c>
    </row>
    <row r="29" spans="1:20" ht="13.5" customHeight="1" x14ac:dyDescent="0.2">
      <c r="O29" s="11">
        <v>0.625</v>
      </c>
      <c r="P29" s="11">
        <v>7.166666666666667</v>
      </c>
      <c r="Q29" s="11">
        <v>10.529166666666667</v>
      </c>
      <c r="R29" s="11">
        <v>-3.8418265565123018</v>
      </c>
    </row>
    <row r="30" spans="1:20" ht="13.5" customHeight="1" x14ac:dyDescent="0.2">
      <c r="O30" s="11">
        <v>0.65</v>
      </c>
      <c r="P30" s="11">
        <v>7.428958333333334</v>
      </c>
      <c r="Q30" s="11">
        <v>10.454166666666666</v>
      </c>
      <c r="R30" s="11">
        <v>-3.9878460282634602</v>
      </c>
    </row>
    <row r="31" spans="1:20" ht="13.5" customHeight="1" x14ac:dyDescent="0.2">
      <c r="O31" s="11">
        <v>0.67500000000000004</v>
      </c>
      <c r="P31" s="11">
        <v>7.6893750000000001</v>
      </c>
      <c r="Q31" s="11">
        <v>10.379166666666666</v>
      </c>
      <c r="R31" s="11">
        <v>-4.1329849523414124</v>
      </c>
    </row>
    <row r="32" spans="1:20" ht="13.5" customHeight="1" x14ac:dyDescent="0.2">
      <c r="O32" s="11">
        <v>0.7</v>
      </c>
      <c r="P32" s="11">
        <v>7.9479166666666652</v>
      </c>
      <c r="Q32" s="11">
        <v>10.304166666666667</v>
      </c>
      <c r="R32" s="11">
        <v>-4.277212461146334</v>
      </c>
    </row>
    <row r="33" spans="9:18" ht="13.5" customHeight="1" x14ac:dyDescent="0.2">
      <c r="O33" s="11">
        <v>0.72499999999999998</v>
      </c>
      <c r="P33" s="11">
        <v>8.204583333333332</v>
      </c>
      <c r="Q33" s="11">
        <v>10.229166666666666</v>
      </c>
      <c r="R33" s="11">
        <v>-4.4204979093251149</v>
      </c>
    </row>
    <row r="34" spans="9:18" ht="13.5" customHeight="1" x14ac:dyDescent="0.2">
      <c r="O34" s="11">
        <v>0.75</v>
      </c>
      <c r="P34" s="11">
        <v>8.4593750000000014</v>
      </c>
      <c r="Q34" s="11">
        <v>10.154166666666667</v>
      </c>
      <c r="R34" s="11">
        <v>-4.5628108737713688</v>
      </c>
    </row>
    <row r="35" spans="9:18" ht="13.5" customHeight="1" x14ac:dyDescent="0.2">
      <c r="O35" s="11">
        <v>0.77500000000000002</v>
      </c>
      <c r="P35" s="11">
        <v>8.7122916666666654</v>
      </c>
      <c r="Q35" s="11">
        <v>10.079166666666666</v>
      </c>
      <c r="R35" s="11">
        <v>-4.7041211536254242</v>
      </c>
    </row>
    <row r="36" spans="9:18" ht="13.5" customHeight="1" x14ac:dyDescent="0.2">
      <c r="O36" s="11">
        <v>0.8</v>
      </c>
      <c r="P36" s="11">
        <v>8.9633333333333329</v>
      </c>
      <c r="Q36" s="11">
        <v>10.004166666666666</v>
      </c>
      <c r="R36" s="11">
        <v>-4.8443987702743314</v>
      </c>
    </row>
    <row r="37" spans="9:18" ht="13.5" customHeight="1" x14ac:dyDescent="0.2">
      <c r="L37" s="2" t="s">
        <v>9</v>
      </c>
      <c r="M37" s="2" t="s">
        <v>20</v>
      </c>
      <c r="O37" s="11">
        <v>0.82499999999999996</v>
      </c>
      <c r="P37" s="11">
        <v>9.2124999999999986</v>
      </c>
      <c r="Q37" s="11">
        <v>9.9291666666666671</v>
      </c>
      <c r="R37" s="11">
        <v>-4.9836139673518582</v>
      </c>
    </row>
    <row r="38" spans="9:18" ht="13.5" customHeight="1" x14ac:dyDescent="0.2">
      <c r="K38" s="3" t="s">
        <v>27</v>
      </c>
      <c r="L38" s="2">
        <f>0</f>
        <v>0</v>
      </c>
      <c r="M38" s="2">
        <v>0</v>
      </c>
      <c r="O38" s="11">
        <v>0.85</v>
      </c>
      <c r="P38" s="11">
        <v>9.4597916666666659</v>
      </c>
      <c r="Q38" s="11">
        <v>9.8541666666666661</v>
      </c>
      <c r="R38" s="11">
        <v>-5.1217372107384866</v>
      </c>
    </row>
    <row r="39" spans="9:18" ht="13.5" customHeight="1" x14ac:dyDescent="0.2">
      <c r="K39" s="3" t="s">
        <v>26</v>
      </c>
      <c r="L39" s="2">
        <f>L_main</f>
        <v>5</v>
      </c>
      <c r="M39" s="2">
        <v>0</v>
      </c>
      <c r="O39" s="11">
        <v>0.875</v>
      </c>
      <c r="P39" s="11">
        <v>9.7052083333333368</v>
      </c>
      <c r="Q39" s="11">
        <v>9.7791666666666668</v>
      </c>
      <c r="R39" s="11">
        <v>-5.2587391885614254</v>
      </c>
    </row>
    <row r="40" spans="9:18" ht="13.5" customHeight="1" x14ac:dyDescent="0.2">
      <c r="O40" s="11">
        <v>0.9</v>
      </c>
      <c r="P40" s="11">
        <v>9.9487500000000022</v>
      </c>
      <c r="Q40" s="11">
        <v>9.7041666666666657</v>
      </c>
      <c r="R40" s="11">
        <v>-5.394590811194595</v>
      </c>
    </row>
    <row r="41" spans="9:18" ht="13.5" customHeight="1" x14ac:dyDescent="0.2">
      <c r="L41" s="2" t="s">
        <v>9</v>
      </c>
      <c r="M41" s="2" t="s">
        <v>10</v>
      </c>
      <c r="O41" s="11">
        <v>0.92500000000000004</v>
      </c>
      <c r="P41" s="11">
        <v>10.190416666666668</v>
      </c>
      <c r="Q41" s="11">
        <v>9.6291666666666664</v>
      </c>
      <c r="R41" s="11">
        <v>-5.529263211258642</v>
      </c>
    </row>
    <row r="42" spans="9:18" ht="13.5" customHeight="1" x14ac:dyDescent="0.2">
      <c r="K42" s="2" t="s">
        <v>16</v>
      </c>
      <c r="L42" s="6" cm="1">
        <f t="array" ref="L42">_xlfn.XLOOKUP($M$42,MOMENT_list,x_list,NA(),0,1)</f>
        <v>2.5</v>
      </c>
      <c r="M42" s="7">
        <f>_xlfn.LET(_xlpm.Y,_xlfn.AGGREGATE(4,2,MOMENT_list),IF(_xlpm.Y=0,NA(),_xlpm.Y))</f>
        <v>20.365416666666668</v>
      </c>
      <c r="O42" s="11">
        <v>0.95</v>
      </c>
      <c r="P42" s="11">
        <v>10.430208333333333</v>
      </c>
      <c r="Q42" s="11">
        <v>9.5541666666666671</v>
      </c>
      <c r="R42" s="11">
        <v>-5.6627277436209251</v>
      </c>
    </row>
    <row r="43" spans="9:18" ht="13.5" customHeight="1" x14ac:dyDescent="0.2">
      <c r="K43" s="2" t="s">
        <v>17</v>
      </c>
      <c r="L43" s="6" t="e" cm="1">
        <f t="array" ref="L43">_xlfn.XLOOKUP($M$43,MOMENT_list,x_list,NA(),0,1)</f>
        <v>#N/A</v>
      </c>
      <c r="M43" s="7" t="e">
        <f>_xlfn.LET(_xlpm.Y,_xlfn.AGGREGATE(5,2,MOMENT_list),IF(_xlpm.Y=0,NA(),_xlpm.Y))</f>
        <v>#N/A</v>
      </c>
      <c r="O43" s="11">
        <v>0.97499999999999998</v>
      </c>
      <c r="P43" s="11">
        <v>10.668125</v>
      </c>
      <c r="Q43" s="11">
        <v>9.4791666666666661</v>
      </c>
      <c r="R43" s="11">
        <v>-5.7949559853955259</v>
      </c>
    </row>
    <row r="44" spans="9:18" ht="13.5" customHeight="1" x14ac:dyDescent="0.2">
      <c r="O44" s="11">
        <v>0.99999990000000005</v>
      </c>
      <c r="P44" s="11">
        <v>10.904165726249985</v>
      </c>
      <c r="Q44" s="11">
        <v>9.4041669666666667</v>
      </c>
      <c r="R44" s="11">
        <v>-5.925919214654586</v>
      </c>
    </row>
    <row r="45" spans="9:18" ht="13.5" customHeight="1" x14ac:dyDescent="0.2">
      <c r="L45" s="2" t="s">
        <v>9</v>
      </c>
      <c r="M45" s="2" t="s">
        <v>11</v>
      </c>
      <c r="O45" s="11">
        <v>1</v>
      </c>
      <c r="P45" s="11">
        <v>10.904166666666667</v>
      </c>
      <c r="Q45" s="11">
        <v>9.4041666666666668</v>
      </c>
      <c r="R45" s="11">
        <v>-5.9259197359432392</v>
      </c>
    </row>
    <row r="46" spans="9:18" ht="13.5" customHeight="1" x14ac:dyDescent="0.2">
      <c r="I46" s="13"/>
      <c r="J46" s="13"/>
      <c r="K46" s="2" t="s">
        <v>16</v>
      </c>
      <c r="L46" s="6" cm="1">
        <f t="array" ref="L46">_xlfn.XLOOKUP($M$46,SHEAR_list,x_list,NA(),0,-1)</f>
        <v>0</v>
      </c>
      <c r="M46" s="8">
        <f>_xlfn.LET(_xlpm.Y,_xlfn.AGGREGATE(4,2,SHEAR_list),IF(_xlpm.Y=0,NA(),_xlpm.Y))</f>
        <v>12.404166666666667</v>
      </c>
      <c r="O46" s="11">
        <v>1.0000001000000001</v>
      </c>
      <c r="P46" s="11">
        <v>13.40416760708332</v>
      </c>
      <c r="Q46" s="11">
        <v>9.4041663666666615</v>
      </c>
      <c r="R46" s="11">
        <v>-5.9259202572318683</v>
      </c>
    </row>
    <row r="47" spans="9:18" ht="13.5" customHeight="1" x14ac:dyDescent="0.2">
      <c r="K47" s="2" t="s">
        <v>17</v>
      </c>
      <c r="L47" s="6" cm="1">
        <f t="array" ref="L47">_xlfn.XLOOKUP($M$47,SHEAR_list,x_list,NA(),0,1)</f>
        <v>5</v>
      </c>
      <c r="M47" s="8">
        <f>_xlfn.LET(_xlpm.Y,_xlfn.AGGREGATE(5,2,SHEAR_list),IF(_xlpm.Y=0,NA(),_xlpm.Y))</f>
        <v>-13.470833333333333</v>
      </c>
      <c r="O47" s="11">
        <v>1.0249999999999999</v>
      </c>
      <c r="P47" s="11">
        <v>13.638331250000002</v>
      </c>
      <c r="Q47" s="11">
        <v>9.3289166666666663</v>
      </c>
      <c r="R47" s="11">
        <v>-6.0554428524047683</v>
      </c>
    </row>
    <row r="48" spans="9:18" ht="13.5" customHeight="1" x14ac:dyDescent="0.2">
      <c r="O48" s="11">
        <v>1.05</v>
      </c>
      <c r="P48" s="11">
        <v>13.870608333333333</v>
      </c>
      <c r="Q48" s="11">
        <v>9.253166666666667</v>
      </c>
      <c r="R48" s="11">
        <v>-6.1833494145132439</v>
      </c>
    </row>
    <row r="49" spans="11:18" ht="13.5" customHeight="1" x14ac:dyDescent="0.2">
      <c r="L49" s="2" t="s">
        <v>9</v>
      </c>
      <c r="M49" s="2" t="s">
        <v>12</v>
      </c>
      <c r="O49" s="11">
        <v>1.075</v>
      </c>
      <c r="P49" s="11">
        <v>14.100985416666665</v>
      </c>
      <c r="Q49" s="11">
        <v>9.1769166666666671</v>
      </c>
      <c r="R49" s="11">
        <v>-6.3096118902216762</v>
      </c>
    </row>
    <row r="50" spans="11:18" ht="13.5" customHeight="1" x14ac:dyDescent="0.2">
      <c r="K50" s="2" t="s">
        <v>16</v>
      </c>
      <c r="L50" s="6" cm="1">
        <f t="array" ref="L50">_xlfn.XLOOKUP($M$50,DEFLECTION_list,x_list,NA(),0,-1)</f>
        <v>6</v>
      </c>
      <c r="M50" s="9">
        <f>_xlfn.LET(_xlpm.Y,_xlfn.AGGREGATE(4,2,DEFLECTION_list),IF(ROUND(_xlpm.Y,4)=0,NA(),_xlpm.Y))</f>
        <v>6.5346057567102376</v>
      </c>
      <c r="O50" s="11">
        <v>1.1000000000000001</v>
      </c>
      <c r="P50" s="11">
        <v>14.329450000000001</v>
      </c>
      <c r="Q50" s="11">
        <v>9.1001666666666665</v>
      </c>
      <c r="R50" s="11">
        <v>-6.4342029726930878</v>
      </c>
    </row>
    <row r="51" spans="11:18" ht="13.5" customHeight="1" x14ac:dyDescent="0.2">
      <c r="K51" s="2" t="s">
        <v>17</v>
      </c>
      <c r="L51" s="6" cm="1">
        <f t="array" ref="L51">_xlfn.XLOOKUP($M$51,DEFLECTION_list,x_list,NA(),0,1)</f>
        <v>2.5</v>
      </c>
      <c r="M51" s="9">
        <f>_xlfn.LET(_xlpm.Y,_xlfn.AGGREGATE(5,2,DEFLECTION_list),IF(ROUND(_xlpm.Y,4)=0,NA(),_xlpm.Y))</f>
        <v>-10.084064313656693</v>
      </c>
      <c r="O51" s="11">
        <v>1.125</v>
      </c>
      <c r="P51" s="11">
        <v>14.555989583333332</v>
      </c>
      <c r="Q51" s="11">
        <v>9.0229166666666671</v>
      </c>
      <c r="R51" s="11">
        <v>-6.5570955817821481</v>
      </c>
    </row>
    <row r="52" spans="11:18" ht="13.5" customHeight="1" x14ac:dyDescent="0.2">
      <c r="K52" s="10" t="s">
        <v>19</v>
      </c>
      <c r="L52" s="6" t="e">
        <f>_xlfn.LET(_xlpm.X,L_main+L_cant,IF(OR(_xlpm.X=L50,_xlpm.X=L51),NA(),_xlpm.X))</f>
        <v>#N/A</v>
      </c>
      <c r="M52" s="9" t="e" cm="1">
        <f t="array" ref="M52">IF(L_main=L_main+L_cant,NA(),_xlfn.XLOOKUP(L52,x_list,DEFLECTION_list,NA(),0,1))</f>
        <v>#N/A</v>
      </c>
      <c r="O52" s="11">
        <v>1.1499999999999999</v>
      </c>
      <c r="P52" s="11">
        <v>14.780591666666668</v>
      </c>
      <c r="Q52" s="11">
        <v>8.9451666666666672</v>
      </c>
      <c r="R52" s="11">
        <v>-6.6782628655168299</v>
      </c>
    </row>
    <row r="53" spans="11:18" ht="13.5" customHeight="1" x14ac:dyDescent="0.2">
      <c r="K53" s="2" t="s">
        <v>23</v>
      </c>
      <c r="L53" s="6" cm="1">
        <f t="array" ref="L53">_xlfn.LET(_xlpm.X,_xlfn.XLOOKUP($M$53,DEFLECTION_list,x_list,NA(),0,1),IF(ROUND(_xlpm.X,4)=0,NA(),_xlpm.X))</f>
        <v>6</v>
      </c>
      <c r="M53" s="9" cm="1">
        <f t="array" ref="M53">_xlfn.LET(_xlpm.Y,MAX(_xlfn._xlws.FILTER(DEFLECTION_list,NOT(ISNA(DEFLECTION_list))*(x_list&gt;L_main),NA())),IF(ROUND(_xlpm.Y,4)=0,NA(),_xlpm.Y))</f>
        <v>6.5346057567102376</v>
      </c>
      <c r="O53" s="11">
        <v>1.175</v>
      </c>
      <c r="P53" s="11">
        <v>15.003243750000001</v>
      </c>
      <c r="Q53" s="11">
        <v>8.8669166666666666</v>
      </c>
      <c r="R53" s="11">
        <v>-6.7976782015800445</v>
      </c>
    </row>
    <row r="54" spans="11:18" ht="13.5" customHeight="1" x14ac:dyDescent="0.2">
      <c r="K54" s="2" t="s">
        <v>24</v>
      </c>
      <c r="L54" s="6" t="e" cm="1">
        <f t="array" ref="L54">_xlfn.LET(_xlpm.X,_xlfn.XLOOKUP($M$54,DEFLECTION_list,x_list,NA(),0,1),IF(_xlpm.X=0,NA(),_xlpm.X))</f>
        <v>#N/A</v>
      </c>
      <c r="M54" s="9" t="e" cm="1">
        <f t="array" ref="M54">_xlfn.LET(_xlpm.Y,MIN(_xlfn._xlws.FILTER(DEFLECTION_list,NOT(ISNA(DEFLECTION_list))*(x_list&gt;L_main),NA())),IF(ROUND(_xlpm.Y,4)=0,NA(),_xlpm.Y))</f>
        <v>#N/A</v>
      </c>
      <c r="O54" s="11">
        <v>1.2</v>
      </c>
      <c r="P54" s="11">
        <v>15.223933333333333</v>
      </c>
      <c r="Q54" s="11">
        <v>8.7881666666666671</v>
      </c>
      <c r="R54" s="11">
        <v>-6.9153151987912933</v>
      </c>
    </row>
    <row r="55" spans="11:18" ht="13.5" customHeight="1" x14ac:dyDescent="0.2">
      <c r="K55" s="2" t="s">
        <v>22</v>
      </c>
      <c r="L55" s="6" t="e" cm="1">
        <f t="array" ref="L55">_xlfn.LET(_xlpm.X,_xlfn.XLOOKUP($M$55,DEFLECTION_list,x_list,NA(),0,1),IF(ROUND(_xlpm.X,4)=0,NA(),_xlpm.X))</f>
        <v>#N/A</v>
      </c>
      <c r="M55" s="9" t="e" cm="1">
        <f t="array" ref="M55">_xlfn.LET(_xlpm.Y,MAX(_xlfn._xlws.FILTER(DEFLECTION_list,NOT(ISNA(DEFLECTION_list))*(x_list&lt;=L_main),NA())),IF(ROUND(_xlpm.Y,4)=0,NA(),_xlpm.Y))</f>
        <v>#N/A</v>
      </c>
      <c r="O55" s="11">
        <v>1.2250000000000001</v>
      </c>
      <c r="P55" s="11">
        <v>15.442647916666669</v>
      </c>
      <c r="Q55" s="11">
        <v>8.7089166666666653</v>
      </c>
      <c r="R55" s="11">
        <v>-7.031147698588307</v>
      </c>
    </row>
    <row r="56" spans="11:18" ht="13.5" customHeight="1" x14ac:dyDescent="0.2">
      <c r="K56" s="2" t="s">
        <v>21</v>
      </c>
      <c r="L56" s="6" cm="1">
        <f t="array" ref="L56">_xlfn.LET(_xlpm.X,_xlfn.XLOOKUP($M$56,DEFLECTION_list,x_list,NA(),0,1),IF(_xlpm.X=0,NA(),_xlpm.X))</f>
        <v>2.5</v>
      </c>
      <c r="M56" s="9" cm="1">
        <f t="array" ref="M56">_xlfn.LET(_xlpm.Y,MIN(_xlfn._xlws.FILTER(DEFLECTION_list,NOT(ISNA(DEFLECTION_list))*(x_list&lt;=L_main),NA())),IF(ROUND(_xlpm.Y,4)=0,NA(),_xlpm.Y))</f>
        <v>-10.084064313656693</v>
      </c>
      <c r="O56" s="11">
        <v>1.25</v>
      </c>
      <c r="P56" s="11">
        <v>15.659375000000001</v>
      </c>
      <c r="Q56" s="11">
        <v>8.6291666666666664</v>
      </c>
      <c r="R56" s="11">
        <v>-7.1451497765086973</v>
      </c>
    </row>
    <row r="57" spans="11:18" ht="13.5" customHeight="1" x14ac:dyDescent="0.2">
      <c r="O57" s="11">
        <v>1.2749999999999999</v>
      </c>
      <c r="P57" s="11">
        <v>15.874102083333332</v>
      </c>
      <c r="Q57" s="11">
        <v>8.5489166666666669</v>
      </c>
      <c r="R57" s="11">
        <v>-7.2572957436715972</v>
      </c>
    </row>
    <row r="58" spans="11:18" ht="13.5" customHeight="1" x14ac:dyDescent="0.2">
      <c r="O58" s="11">
        <v>1.3</v>
      </c>
      <c r="P58" s="11">
        <v>16.086816666666667</v>
      </c>
      <c r="Q58" s="11">
        <v>8.4681666666666668</v>
      </c>
      <c r="R58" s="11">
        <v>-7.3675601482593027</v>
      </c>
    </row>
    <row r="59" spans="11:18" ht="13.5" customHeight="1" x14ac:dyDescent="0.2">
      <c r="O59" s="11">
        <v>1.325</v>
      </c>
      <c r="P59" s="11">
        <v>16.297506249999998</v>
      </c>
      <c r="Q59" s="11">
        <v>8.3869166666666679</v>
      </c>
      <c r="R59" s="11">
        <v>-7.4759177769989238</v>
      </c>
    </row>
    <row r="60" spans="11:18" ht="13.5" customHeight="1" x14ac:dyDescent="0.2">
      <c r="O60" s="11">
        <v>1.35</v>
      </c>
      <c r="P60" s="11">
        <v>16.506158333333335</v>
      </c>
      <c r="Q60" s="11">
        <v>8.3051666666666684</v>
      </c>
      <c r="R60" s="11">
        <v>-7.5823436566440288</v>
      </c>
    </row>
    <row r="61" spans="11:18" ht="13.5" customHeight="1" x14ac:dyDescent="0.2">
      <c r="O61" s="11">
        <v>1.375</v>
      </c>
      <c r="P61" s="11">
        <v>16.712760416666665</v>
      </c>
      <c r="Q61" s="11">
        <v>8.2229166666666664</v>
      </c>
      <c r="R61" s="11">
        <v>-7.6868130554562839</v>
      </c>
    </row>
    <row r="62" spans="11:18" ht="13.5" customHeight="1" x14ac:dyDescent="0.2">
      <c r="O62" s="11">
        <v>1.4</v>
      </c>
      <c r="P62" s="11">
        <v>16.917299999999994</v>
      </c>
      <c r="Q62" s="11">
        <v>8.1401666666666657</v>
      </c>
      <c r="R62" s="11">
        <v>-7.7893014846871003</v>
      </c>
    </row>
    <row r="63" spans="11:18" ht="13.5" customHeight="1" x14ac:dyDescent="0.2">
      <c r="O63" s="11">
        <v>1.425</v>
      </c>
      <c r="P63" s="11">
        <v>17.119764583333339</v>
      </c>
      <c r="Q63" s="11">
        <v>8.0569166666666678</v>
      </c>
      <c r="R63" s="11">
        <v>-7.8897847000592831</v>
      </c>
    </row>
    <row r="64" spans="11:18" ht="13.5" customHeight="1" x14ac:dyDescent="0.2">
      <c r="O64" s="11">
        <v>1.45</v>
      </c>
      <c r="P64" s="11">
        <v>17.320141666666665</v>
      </c>
      <c r="Q64" s="11">
        <v>7.9731666666666676</v>
      </c>
      <c r="R64" s="11">
        <v>-7.9882387032486726</v>
      </c>
    </row>
    <row r="65" spans="13:18" ht="13.5" customHeight="1" x14ac:dyDescent="0.2">
      <c r="O65" s="11">
        <v>1.4750000000000001</v>
      </c>
      <c r="P65" s="11">
        <v>17.518418750000002</v>
      </c>
      <c r="Q65" s="11">
        <v>7.8889166666666686</v>
      </c>
      <c r="R65" s="11">
        <v>-8.0846397433657842</v>
      </c>
    </row>
    <row r="66" spans="13:18" ht="13.5" customHeight="1" x14ac:dyDescent="0.2">
      <c r="O66" s="11">
        <v>1.5</v>
      </c>
      <c r="P66" s="11">
        <v>17.714583333333337</v>
      </c>
      <c r="Q66" s="11">
        <v>7.8041666666666689</v>
      </c>
      <c r="R66" s="11">
        <v>-8.1789643184374672</v>
      </c>
    </row>
    <row r="67" spans="13:18" ht="13.5" customHeight="1" x14ac:dyDescent="0.2">
      <c r="O67" s="11">
        <v>1.5249999999999999</v>
      </c>
      <c r="P67" s="11">
        <v>17.908622916666666</v>
      </c>
      <c r="Q67" s="11">
        <v>7.7189166666666686</v>
      </c>
      <c r="R67" s="11">
        <v>-8.2711891768885337</v>
      </c>
    </row>
    <row r="68" spans="13:18" ht="13.5" customHeight="1" x14ac:dyDescent="0.2">
      <c r="O68" s="11">
        <v>1.55</v>
      </c>
      <c r="P68" s="11">
        <v>18.100524999999998</v>
      </c>
      <c r="Q68" s="11">
        <v>7.6331666666666678</v>
      </c>
      <c r="R68" s="11">
        <v>-8.3612913190234082</v>
      </c>
    </row>
    <row r="69" spans="13:18" ht="13.5" customHeight="1" x14ac:dyDescent="0.2">
      <c r="O69" s="11">
        <v>1.575</v>
      </c>
      <c r="P69" s="11">
        <v>18.290277083333336</v>
      </c>
      <c r="Q69" s="11">
        <v>7.546916666666668</v>
      </c>
      <c r="R69" s="11">
        <v>-8.4492479985077829</v>
      </c>
    </row>
    <row r="70" spans="13:18" ht="13.5" customHeight="1" x14ac:dyDescent="0.2">
      <c r="M70" s="4"/>
      <c r="O70" s="11">
        <v>1.6</v>
      </c>
      <c r="P70" s="11">
        <v>18.477866666666667</v>
      </c>
      <c r="Q70" s="11">
        <v>7.4601666666666677</v>
      </c>
      <c r="R70" s="11">
        <v>-8.5350367238502507</v>
      </c>
    </row>
    <row r="71" spans="13:18" ht="13.5" customHeight="1" x14ac:dyDescent="0.2">
      <c r="O71" s="11">
        <v>1.625</v>
      </c>
      <c r="P71" s="11">
        <v>18.663281249999997</v>
      </c>
      <c r="Q71" s="11">
        <v>7.3729166666666686</v>
      </c>
      <c r="R71" s="11">
        <v>-8.618635259883952</v>
      </c>
    </row>
    <row r="72" spans="13:18" ht="13.5" customHeight="1" x14ac:dyDescent="0.2">
      <c r="O72" s="11">
        <v>1.65</v>
      </c>
      <c r="P72" s="11">
        <v>18.846508333333333</v>
      </c>
      <c r="Q72" s="11">
        <v>7.2851666666666688</v>
      </c>
      <c r="R72" s="11">
        <v>-8.7000216292482175</v>
      </c>
    </row>
    <row r="73" spans="13:18" ht="13.5" customHeight="1" x14ac:dyDescent="0.2">
      <c r="O73" s="11">
        <v>1.6699998999999999</v>
      </c>
      <c r="P73" s="11">
        <v>18.991505878539314</v>
      </c>
      <c r="Q73" s="11">
        <v>7.2146070202666639</v>
      </c>
      <c r="R73" s="11">
        <v>-8.7635230475267214</v>
      </c>
    </row>
    <row r="74" spans="13:18" ht="13.5" customHeight="1" x14ac:dyDescent="0.2">
      <c r="O74" s="11">
        <v>1.6700001</v>
      </c>
      <c r="P74" s="11">
        <v>18.991506921460651</v>
      </c>
      <c r="Q74" s="11">
        <v>3.2146063130666631</v>
      </c>
      <c r="R74" s="11">
        <v>-8.763523675358833</v>
      </c>
    </row>
    <row r="75" spans="13:18" ht="13.5" customHeight="1" x14ac:dyDescent="0.2">
      <c r="O75" s="11">
        <v>1.675</v>
      </c>
      <c r="P75" s="11">
        <v>19.007535416666666</v>
      </c>
      <c r="Q75" s="11">
        <v>3.1969166666666671</v>
      </c>
      <c r="R75" s="11">
        <v>-8.7791741296744359</v>
      </c>
    </row>
    <row r="76" spans="13:18" ht="13.5" customHeight="1" x14ac:dyDescent="0.2">
      <c r="O76" s="11">
        <v>1.7</v>
      </c>
      <c r="P76" s="11">
        <v>19.086349999999996</v>
      </c>
      <c r="Q76" s="11">
        <v>3.1081666666666674</v>
      </c>
      <c r="R76" s="11">
        <v>-8.8560746701562341</v>
      </c>
    </row>
    <row r="77" spans="13:18" ht="13.5" customHeight="1" x14ac:dyDescent="0.2">
      <c r="O77" s="11">
        <v>1.7250000000000001</v>
      </c>
      <c r="P77" s="11">
        <v>19.162939583333337</v>
      </c>
      <c r="Q77" s="11">
        <v>3.0189166666666667</v>
      </c>
      <c r="R77" s="11">
        <v>-8.9307128973302117</v>
      </c>
    </row>
    <row r="78" spans="13:18" ht="13.5" customHeight="1" x14ac:dyDescent="0.2">
      <c r="O78" s="11">
        <v>1.75</v>
      </c>
      <c r="P78" s="11">
        <v>19.237291666666671</v>
      </c>
      <c r="Q78" s="11">
        <v>2.9291666666666676</v>
      </c>
      <c r="R78" s="11">
        <v>-9.0030797330352623</v>
      </c>
    </row>
    <row r="79" spans="13:18" ht="13.5" customHeight="1" x14ac:dyDescent="0.2">
      <c r="O79" s="11">
        <v>1.7749999999999999</v>
      </c>
      <c r="P79" s="11">
        <v>19.309393750000002</v>
      </c>
      <c r="Q79" s="11">
        <v>2.8389166666666674</v>
      </c>
      <c r="R79" s="11">
        <v>-9.0731663643246989</v>
      </c>
    </row>
    <row r="80" spans="13:18" ht="13.5" customHeight="1" x14ac:dyDescent="0.2">
      <c r="O80" s="11">
        <v>1.8</v>
      </c>
      <c r="P80" s="11">
        <v>19.379233333333335</v>
      </c>
      <c r="Q80" s="11">
        <v>2.7481666666666666</v>
      </c>
      <c r="R80" s="11">
        <v>-9.1409642449478845</v>
      </c>
    </row>
    <row r="81" spans="15:18" ht="13.5" customHeight="1" x14ac:dyDescent="0.2">
      <c r="O81" s="11">
        <v>1.825</v>
      </c>
      <c r="P81" s="11">
        <v>19.446797916666668</v>
      </c>
      <c r="Q81" s="11">
        <v>2.6569166666666675</v>
      </c>
      <c r="R81" s="11">
        <v>-9.2064650968319039</v>
      </c>
    </row>
    <row r="82" spans="15:18" ht="13.5" customHeight="1" x14ac:dyDescent="0.2">
      <c r="O82" s="11">
        <v>1.85</v>
      </c>
      <c r="P82" s="11">
        <v>19.512074999999999</v>
      </c>
      <c r="Q82" s="11">
        <v>2.5651666666666673</v>
      </c>
      <c r="R82" s="11">
        <v>-9.2696609115631876</v>
      </c>
    </row>
    <row r="83" spans="15:18" ht="13.5" customHeight="1" x14ac:dyDescent="0.2">
      <c r="O83" s="11">
        <v>1.875</v>
      </c>
      <c r="P83" s="11">
        <v>19.575052083333333</v>
      </c>
      <c r="Q83" s="11">
        <v>2.4729166666666673</v>
      </c>
      <c r="R83" s="11">
        <v>-9.33054395186916</v>
      </c>
    </row>
    <row r="84" spans="15:18" ht="13.5" customHeight="1" x14ac:dyDescent="0.2">
      <c r="O84" s="11">
        <v>1.9</v>
      </c>
      <c r="P84" s="11">
        <v>19.635716666666667</v>
      </c>
      <c r="Q84" s="11">
        <v>2.3801666666666677</v>
      </c>
      <c r="R84" s="11">
        <v>-9.3891067530998953</v>
      </c>
    </row>
    <row r="85" spans="15:18" ht="13.5" customHeight="1" x14ac:dyDescent="0.2">
      <c r="O85" s="11">
        <v>1.925</v>
      </c>
      <c r="P85" s="11">
        <v>19.694056249999999</v>
      </c>
      <c r="Q85" s="11">
        <v>2.2869166666666665</v>
      </c>
      <c r="R85" s="11">
        <v>-9.4453421247097449</v>
      </c>
    </row>
    <row r="86" spans="15:18" ht="13.5" customHeight="1" x14ac:dyDescent="0.2">
      <c r="O86" s="11">
        <v>1.95</v>
      </c>
      <c r="P86" s="11">
        <v>19.750058333333328</v>
      </c>
      <c r="Q86" s="11">
        <v>2.1931666666666674</v>
      </c>
      <c r="R86" s="11">
        <v>-9.4992431517389946</v>
      </c>
    </row>
    <row r="87" spans="15:18" ht="13.5" customHeight="1" x14ac:dyDescent="0.2">
      <c r="O87" s="11">
        <v>1.9750000000000001</v>
      </c>
      <c r="P87" s="11">
        <v>19.803710416666664</v>
      </c>
      <c r="Q87" s="11">
        <v>2.0989166666666663</v>
      </c>
      <c r="R87" s="11">
        <v>-9.5508031962955116</v>
      </c>
    </row>
    <row r="88" spans="15:18" ht="13.5" customHeight="1" x14ac:dyDescent="0.2">
      <c r="O88" s="11">
        <v>2</v>
      </c>
      <c r="P88" s="11">
        <v>19.855</v>
      </c>
      <c r="Q88" s="11">
        <v>2.0041666666666669</v>
      </c>
      <c r="R88" s="11">
        <v>-9.6000158990363733</v>
      </c>
    </row>
    <row r="89" spans="15:18" ht="13.5" customHeight="1" x14ac:dyDescent="0.2">
      <c r="O89" s="11">
        <v>2.0249999999999999</v>
      </c>
      <c r="P89" s="11">
        <v>19.903914583333336</v>
      </c>
      <c r="Q89" s="11">
        <v>1.9089166666666668</v>
      </c>
      <c r="R89" s="11">
        <v>-9.6468751806495376</v>
      </c>
    </row>
    <row r="90" spans="15:18" ht="13.5" customHeight="1" x14ac:dyDescent="0.2">
      <c r="O90" s="11">
        <v>2.0499999999999998</v>
      </c>
      <c r="P90" s="11">
        <v>19.95044166666667</v>
      </c>
      <c r="Q90" s="11">
        <v>1.8131666666666675</v>
      </c>
      <c r="R90" s="11">
        <v>-9.691375243335461</v>
      </c>
    </row>
    <row r="91" spans="15:18" ht="13.5" customHeight="1" x14ac:dyDescent="0.2">
      <c r="O91" s="11">
        <v>2.0750000000000002</v>
      </c>
      <c r="P91" s="11">
        <v>19.994568750000003</v>
      </c>
      <c r="Q91" s="11">
        <v>1.7169166666666662</v>
      </c>
      <c r="R91" s="11">
        <v>-9.733510572288754</v>
      </c>
    </row>
    <row r="92" spans="15:18" ht="13.5" customHeight="1" x14ac:dyDescent="0.2">
      <c r="O92" s="11">
        <v>2.1</v>
      </c>
      <c r="P92" s="11">
        <v>20.03628333333333</v>
      </c>
      <c r="Q92" s="11">
        <v>1.6201666666666665</v>
      </c>
      <c r="R92" s="11">
        <v>-9.7732759371798394</v>
      </c>
    </row>
    <row r="93" spans="15:18" ht="13.5" customHeight="1" x14ac:dyDescent="0.2">
      <c r="O93" s="11">
        <v>2.125</v>
      </c>
      <c r="P93" s="11">
        <v>20.075572916666669</v>
      </c>
      <c r="Q93" s="11">
        <v>1.5229166666666667</v>
      </c>
      <c r="R93" s="11">
        <v>-9.8106663936365699</v>
      </c>
    </row>
    <row r="94" spans="15:18" ht="13.5" customHeight="1" x14ac:dyDescent="0.2">
      <c r="O94" s="11">
        <v>2.15</v>
      </c>
      <c r="P94" s="11">
        <v>20.112424999999998</v>
      </c>
      <c r="Q94" s="11">
        <v>1.4251666666666671</v>
      </c>
      <c r="R94" s="11">
        <v>-9.8456772847258982</v>
      </c>
    </row>
    <row r="95" spans="15:18" ht="13.5" customHeight="1" x14ac:dyDescent="0.2">
      <c r="O95" s="11">
        <v>2.1749999999999998</v>
      </c>
      <c r="P95" s="11">
        <v>20.146827083333331</v>
      </c>
      <c r="Q95" s="11">
        <v>1.3269166666666674</v>
      </c>
      <c r="R95" s="11">
        <v>-9.8783042424355081</v>
      </c>
    </row>
    <row r="96" spans="15:18" ht="13.5" customHeight="1" x14ac:dyDescent="0.2">
      <c r="O96" s="11">
        <v>2.2000000000000002</v>
      </c>
      <c r="P96" s="11">
        <v>20.178766666666668</v>
      </c>
      <c r="Q96" s="11">
        <v>1.2281666666666666</v>
      </c>
      <c r="R96" s="11">
        <v>-9.908543189155461</v>
      </c>
    </row>
    <row r="97" spans="15:18" ht="13.5" customHeight="1" x14ac:dyDescent="0.2">
      <c r="O97" s="11">
        <v>2.2250000000000001</v>
      </c>
      <c r="P97" s="11">
        <v>20.208231250000001</v>
      </c>
      <c r="Q97" s="11">
        <v>1.1289166666666661</v>
      </c>
      <c r="R97" s="11">
        <v>-9.9363903391598498</v>
      </c>
    </row>
    <row r="98" spans="15:18" ht="13.5" customHeight="1" x14ac:dyDescent="0.2">
      <c r="O98" s="11">
        <v>2.25</v>
      </c>
      <c r="P98" s="11">
        <v>20.235208333333329</v>
      </c>
      <c r="Q98" s="11">
        <v>1.0291666666666668</v>
      </c>
      <c r="R98" s="11">
        <v>-9.961842200088423</v>
      </c>
    </row>
    <row r="99" spans="15:18" ht="13.5" customHeight="1" x14ac:dyDescent="0.2">
      <c r="O99" s="11">
        <v>2.2749999999999999</v>
      </c>
      <c r="P99" s="11">
        <v>20.259685416666667</v>
      </c>
      <c r="Q99" s="11">
        <v>0.92891666666666783</v>
      </c>
      <c r="R99" s="11">
        <v>-9.9848955744282488</v>
      </c>
    </row>
    <row r="100" spans="15:18" ht="13.5" customHeight="1" x14ac:dyDescent="0.2">
      <c r="O100" s="11">
        <v>2.2999999999999998</v>
      </c>
      <c r="P100" s="11">
        <v>20.281649999999999</v>
      </c>
      <c r="Q100" s="11">
        <v>0.82816666666666727</v>
      </c>
      <c r="R100" s="11">
        <v>-10.005547560995359</v>
      </c>
    </row>
    <row r="101" spans="15:18" ht="13.5" customHeight="1" x14ac:dyDescent="0.2">
      <c r="O101" s="11">
        <v>2.3250000000000002</v>
      </c>
      <c r="P101" s="11">
        <v>20.301089583333329</v>
      </c>
      <c r="Q101" s="11">
        <v>0.7269166666666661</v>
      </c>
      <c r="R101" s="11">
        <v>-10.023795556416387</v>
      </c>
    </row>
    <row r="102" spans="15:18" ht="13.5" customHeight="1" x14ac:dyDescent="0.2">
      <c r="O102" s="11">
        <v>2.35</v>
      </c>
      <c r="P102" s="11">
        <v>20.317991666666668</v>
      </c>
      <c r="Q102" s="11">
        <v>0.62516666666666609</v>
      </c>
      <c r="R102" s="11">
        <v>-10.039637256610206</v>
      </c>
    </row>
    <row r="103" spans="15:18" ht="13.5" customHeight="1" x14ac:dyDescent="0.2">
      <c r="O103" s="11">
        <v>2.375</v>
      </c>
      <c r="P103" s="11">
        <v>20.332343750000003</v>
      </c>
      <c r="Q103" s="11">
        <v>0.52291666666666736</v>
      </c>
      <c r="R103" s="11">
        <v>-10.05307065826959</v>
      </c>
    </row>
    <row r="104" spans="15:18" ht="13.5" customHeight="1" x14ac:dyDescent="0.2">
      <c r="O104" s="11">
        <v>2.4</v>
      </c>
      <c r="P104" s="11">
        <v>20.344133333333335</v>
      </c>
      <c r="Q104" s="11">
        <v>0.42016666666666702</v>
      </c>
      <c r="R104" s="11">
        <v>-10.064094060342844</v>
      </c>
    </row>
    <row r="105" spans="15:18" ht="13.5" customHeight="1" x14ac:dyDescent="0.2">
      <c r="O105" s="11">
        <v>2.4249999999999998</v>
      </c>
      <c r="P105" s="11">
        <v>20.353347916666667</v>
      </c>
      <c r="Q105" s="11">
        <v>0.31691666666666785</v>
      </c>
      <c r="R105" s="11">
        <v>-10.072706065515467</v>
      </c>
    </row>
    <row r="106" spans="15:18" ht="13.5" customHeight="1" x14ac:dyDescent="0.2">
      <c r="O106" s="11">
        <v>2.4500000000000002</v>
      </c>
      <c r="P106" s="11">
        <v>20.359975000000002</v>
      </c>
      <c r="Q106" s="11">
        <v>0.21316666666666628</v>
      </c>
      <c r="R106" s="11">
        <v>-10.078905581691764</v>
      </c>
    </row>
    <row r="107" spans="15:18" ht="13.5" customHeight="1" x14ac:dyDescent="0.2">
      <c r="O107" s="11">
        <v>2.4750000000000001</v>
      </c>
      <c r="P107" s="11">
        <v>20.364002083333332</v>
      </c>
      <c r="Q107" s="11">
        <v>0.10891666666666677</v>
      </c>
      <c r="R107" s="11">
        <v>-10.082691823476541</v>
      </c>
    </row>
    <row r="108" spans="15:18" ht="13.5" customHeight="1" x14ac:dyDescent="0.2">
      <c r="O108" s="11">
        <v>2.5</v>
      </c>
      <c r="P108" s="11">
        <v>20.365416666666668</v>
      </c>
      <c r="Q108" s="11">
        <v>4.1666666666666519E-3</v>
      </c>
      <c r="R108" s="11">
        <v>-10.084064313656693</v>
      </c>
    </row>
    <row r="109" spans="15:18" ht="13.5" customHeight="1" x14ac:dyDescent="0.2">
      <c r="O109" s="11">
        <v>2.5249999999999999</v>
      </c>
      <c r="P109" s="11">
        <v>20.364206250000002</v>
      </c>
      <c r="Q109" s="11">
        <v>-0.10108333333333241</v>
      </c>
      <c r="R109" s="11">
        <v>-10.08302288468289</v>
      </c>
    </row>
    <row r="110" spans="15:18" ht="13.5" customHeight="1" x14ac:dyDescent="0.2">
      <c r="O110" s="11">
        <v>2.5499999999999998</v>
      </c>
      <c r="P110" s="11">
        <v>20.360358333333334</v>
      </c>
      <c r="Q110" s="11">
        <v>-0.20683333333333276</v>
      </c>
      <c r="R110" s="11">
        <v>-10.079567680151211</v>
      </c>
    </row>
    <row r="111" spans="15:18" ht="13.5" customHeight="1" x14ac:dyDescent="0.2">
      <c r="O111" s="11">
        <v>2.5750000000000002</v>
      </c>
      <c r="P111" s="11">
        <v>20.353860416666667</v>
      </c>
      <c r="Q111" s="11">
        <v>-0.31308333333333382</v>
      </c>
      <c r="R111" s="11">
        <v>-10.07369915628478</v>
      </c>
    </row>
    <row r="112" spans="15:18" ht="13.5" customHeight="1" x14ac:dyDescent="0.2">
      <c r="O112" s="11">
        <v>2.6</v>
      </c>
      <c r="P112" s="11">
        <v>20.3447</v>
      </c>
      <c r="Q112" s="11">
        <v>-0.41983333333333384</v>
      </c>
      <c r="R112" s="11">
        <v>-10.065418083415411</v>
      </c>
    </row>
    <row r="113" spans="15:18" ht="13.5" customHeight="1" x14ac:dyDescent="0.2">
      <c r="O113" s="11">
        <v>2.625</v>
      </c>
      <c r="P113" s="11">
        <v>20.332864583333329</v>
      </c>
      <c r="Q113" s="11">
        <v>-0.52708333333333268</v>
      </c>
      <c r="R113" s="11">
        <v>-10.05472554746528</v>
      </c>
    </row>
    <row r="114" spans="15:18" ht="13.5" customHeight="1" x14ac:dyDescent="0.2">
      <c r="O114" s="11">
        <v>2.65</v>
      </c>
      <c r="P114" s="11">
        <v>20.318341666666665</v>
      </c>
      <c r="Q114" s="11">
        <v>-0.63483333333333292</v>
      </c>
      <c r="R114" s="11">
        <v>-10.041622951428518</v>
      </c>
    </row>
    <row r="115" spans="15:18" ht="13.5" customHeight="1" x14ac:dyDescent="0.2">
      <c r="O115" s="11">
        <v>2.6749999999999998</v>
      </c>
      <c r="P115" s="11">
        <v>20.301118750000004</v>
      </c>
      <c r="Q115" s="11">
        <v>-0.74308333333333287</v>
      </c>
      <c r="R115" s="11">
        <v>-10.026112016852915</v>
      </c>
    </row>
    <row r="116" spans="15:18" ht="13.5" customHeight="1" x14ac:dyDescent="0.2">
      <c r="O116" s="11">
        <v>2.7</v>
      </c>
      <c r="P116" s="11">
        <v>20.281183333333331</v>
      </c>
      <c r="Q116" s="11">
        <v>-0.85183333333333433</v>
      </c>
      <c r="R116" s="11">
        <v>-10.008194785321519</v>
      </c>
    </row>
    <row r="117" spans="15:18" ht="13.5" customHeight="1" x14ac:dyDescent="0.2">
      <c r="O117" s="11">
        <v>2.7250000000000001</v>
      </c>
      <c r="P117" s="11">
        <v>20.258522916666667</v>
      </c>
      <c r="Q117" s="11">
        <v>-0.96108333333333373</v>
      </c>
      <c r="R117" s="11">
        <v>-9.9878736199343034</v>
      </c>
    </row>
    <row r="118" spans="15:18" ht="13.5" customHeight="1" x14ac:dyDescent="0.2">
      <c r="O118" s="11">
        <v>2.75</v>
      </c>
      <c r="P118" s="11">
        <v>20.233125000000001</v>
      </c>
      <c r="Q118" s="11">
        <v>-1.0708333333333337</v>
      </c>
      <c r="R118" s="11">
        <v>-9.9651512067898018</v>
      </c>
    </row>
    <row r="119" spans="15:18" ht="13.5" customHeight="1" x14ac:dyDescent="0.2">
      <c r="O119" s="11">
        <v>2.7749999999999999</v>
      </c>
      <c r="P119" s="11">
        <v>20.204977083333333</v>
      </c>
      <c r="Q119" s="11">
        <v>-1.1810833333333326</v>
      </c>
      <c r="R119" s="11">
        <v>-9.9400305564667644</v>
      </c>
    </row>
    <row r="120" spans="15:18" ht="13.5" customHeight="1" x14ac:dyDescent="0.2">
      <c r="O120" s="11">
        <v>2.8</v>
      </c>
      <c r="P120" s="11">
        <v>20.174066666666665</v>
      </c>
      <c r="Q120" s="11">
        <v>-1.2918333333333321</v>
      </c>
      <c r="R120" s="11">
        <v>-9.9125150055057887</v>
      </c>
    </row>
    <row r="121" spans="15:18" ht="13.5" customHeight="1" x14ac:dyDescent="0.2">
      <c r="O121" s="11">
        <v>2.8250000000000002</v>
      </c>
      <c r="P121" s="11">
        <v>20.140381250000001</v>
      </c>
      <c r="Q121" s="11">
        <v>-1.4030833333333339</v>
      </c>
      <c r="R121" s="11">
        <v>-9.882608217890974</v>
      </c>
    </row>
    <row r="122" spans="15:18" ht="13.5" customHeight="1" x14ac:dyDescent="0.2">
      <c r="O122" s="11">
        <v>2.85</v>
      </c>
      <c r="P122" s="11">
        <v>20.103908333333333</v>
      </c>
      <c r="Q122" s="11">
        <v>-1.5148333333333337</v>
      </c>
      <c r="R122" s="11">
        <v>-9.8503141865315662</v>
      </c>
    </row>
    <row r="123" spans="15:18" ht="13.5" customHeight="1" x14ac:dyDescent="0.2">
      <c r="O123" s="11">
        <v>2.875</v>
      </c>
      <c r="P123" s="11">
        <v>20.064635416666665</v>
      </c>
      <c r="Q123" s="11">
        <v>-1.6270833333333332</v>
      </c>
      <c r="R123" s="11">
        <v>-9.8156372347435994</v>
      </c>
    </row>
    <row r="124" spans="15:18" ht="13.5" customHeight="1" x14ac:dyDescent="0.2">
      <c r="O124" s="11">
        <v>2.9</v>
      </c>
      <c r="P124" s="11">
        <v>20.022550000000003</v>
      </c>
      <c r="Q124" s="11">
        <v>-1.7398333333333325</v>
      </c>
      <c r="R124" s="11">
        <v>-9.7785820177315301</v>
      </c>
    </row>
    <row r="125" spans="15:18" ht="13.5" customHeight="1" x14ac:dyDescent="0.2">
      <c r="O125" s="11">
        <v>2.9249999999999998</v>
      </c>
      <c r="P125" s="11">
        <v>19.977639583333335</v>
      </c>
      <c r="Q125" s="11">
        <v>-1.8530833333333323</v>
      </c>
      <c r="R125" s="11">
        <v>-9.7391535240699092</v>
      </c>
    </row>
    <row r="126" spans="15:18" ht="13.5" customHeight="1" x14ac:dyDescent="0.2">
      <c r="O126" s="11">
        <v>2.95</v>
      </c>
      <c r="P126" s="11">
        <v>19.929891666666663</v>
      </c>
      <c r="Q126" s="11">
        <v>-1.9668333333333341</v>
      </c>
      <c r="R126" s="11">
        <v>-9.6973570771849982</v>
      </c>
    </row>
    <row r="127" spans="15:18" ht="13.5" customHeight="1" x14ac:dyDescent="0.2">
      <c r="O127" s="11">
        <v>2.9750000000000001</v>
      </c>
      <c r="P127" s="11">
        <v>19.879293749999999</v>
      </c>
      <c r="Q127" s="11">
        <v>-2.0810833333333334</v>
      </c>
      <c r="R127" s="11">
        <v>-9.6531983368364305</v>
      </c>
    </row>
    <row r="128" spans="15:18" ht="13.5" customHeight="1" x14ac:dyDescent="0.2">
      <c r="O128" s="11">
        <v>3</v>
      </c>
      <c r="P128" s="11">
        <v>19.825833333333335</v>
      </c>
      <c r="Q128" s="11">
        <v>-2.1958333333333324</v>
      </c>
      <c r="R128" s="11">
        <v>-9.6066833005988563</v>
      </c>
    </row>
    <row r="129" spans="15:18" ht="13.5" customHeight="1" x14ac:dyDescent="0.2">
      <c r="O129" s="11">
        <v>3.0249999999999999</v>
      </c>
      <c r="P129" s="11">
        <v>19.769497916666666</v>
      </c>
      <c r="Q129" s="11">
        <v>-2.3110833333333329</v>
      </c>
      <c r="R129" s="11">
        <v>-9.5578183053435772</v>
      </c>
    </row>
    <row r="130" spans="15:18" ht="13.5" customHeight="1" x14ac:dyDescent="0.2">
      <c r="O130" s="11">
        <v>3.05</v>
      </c>
      <c r="P130" s="11">
        <v>19.710275000000006</v>
      </c>
      <c r="Q130" s="11">
        <v>-2.4268333333333314</v>
      </c>
      <c r="R130" s="11">
        <v>-9.506610028720198</v>
      </c>
    </row>
    <row r="131" spans="15:18" ht="13.5" customHeight="1" x14ac:dyDescent="0.2">
      <c r="O131" s="11">
        <v>3.0750000000000002</v>
      </c>
      <c r="P131" s="11">
        <v>19.648152083333333</v>
      </c>
      <c r="Q131" s="11">
        <v>-2.543083333333334</v>
      </c>
      <c r="R131" s="11">
        <v>-9.4530654906382736</v>
      </c>
    </row>
    <row r="132" spans="15:18" ht="13.5" customHeight="1" x14ac:dyDescent="0.2">
      <c r="O132" s="11">
        <v>3.1</v>
      </c>
      <c r="P132" s="11">
        <v>19.583116666666669</v>
      </c>
      <c r="Q132" s="11">
        <v>-2.6598333333333328</v>
      </c>
      <c r="R132" s="11">
        <v>-9.3971920547489418</v>
      </c>
    </row>
    <row r="133" spans="15:18" ht="13.5" customHeight="1" x14ac:dyDescent="0.2">
      <c r="O133" s="11">
        <v>3.125</v>
      </c>
      <c r="P133" s="11">
        <v>19.515156250000004</v>
      </c>
      <c r="Q133" s="11">
        <v>-2.7770833333333331</v>
      </c>
      <c r="R133" s="11">
        <v>-9.3389974299265912</v>
      </c>
    </row>
    <row r="134" spans="15:18" ht="13.5" customHeight="1" x14ac:dyDescent="0.2">
      <c r="O134" s="11">
        <v>3.15</v>
      </c>
      <c r="P134" s="11">
        <v>19.444258333333334</v>
      </c>
      <c r="Q134" s="11">
        <v>-2.8948333333333323</v>
      </c>
      <c r="R134" s="11">
        <v>-9.2784896717504832</v>
      </c>
    </row>
    <row r="135" spans="15:18" ht="13.5" customHeight="1" x14ac:dyDescent="0.2">
      <c r="O135" s="11">
        <v>3.1749999999999998</v>
      </c>
      <c r="P135" s="11">
        <v>19.370410416666665</v>
      </c>
      <c r="Q135" s="11">
        <v>-3.013083333333332</v>
      </c>
      <c r="R135" s="11">
        <v>-9.2156771839863971</v>
      </c>
    </row>
    <row r="136" spans="15:18" ht="13.5" customHeight="1" x14ac:dyDescent="0.2">
      <c r="O136" s="11">
        <v>3.2</v>
      </c>
      <c r="P136" s="11">
        <v>19.293599999999994</v>
      </c>
      <c r="Q136" s="11">
        <v>-3.1318333333333319</v>
      </c>
      <c r="R136" s="11">
        <v>-9.1505687200683017</v>
      </c>
    </row>
    <row r="137" spans="15:18" ht="13.5" customHeight="1" x14ac:dyDescent="0.2">
      <c r="O137" s="11">
        <v>3.2250000000000001</v>
      </c>
      <c r="P137" s="11">
        <v>19.213814583333331</v>
      </c>
      <c r="Q137" s="11">
        <v>-3.2510833333333329</v>
      </c>
      <c r="R137" s="11">
        <v>-9.0831733845799647</v>
      </c>
    </row>
    <row r="138" spans="15:18" ht="13.5" customHeight="1" x14ac:dyDescent="0.2">
      <c r="O138" s="11">
        <v>3.25</v>
      </c>
      <c r="P138" s="11">
        <v>19.131041666666665</v>
      </c>
      <c r="Q138" s="11">
        <v>-3.3708333333333327</v>
      </c>
      <c r="R138" s="11">
        <v>-9.0135006347366247</v>
      </c>
    </row>
    <row r="139" spans="15:18" ht="13.5" customHeight="1" x14ac:dyDescent="0.2">
      <c r="O139" s="11">
        <v>3.2749999999999999</v>
      </c>
      <c r="P139" s="11">
        <v>19.045268750000002</v>
      </c>
      <c r="Q139" s="11">
        <v>-3.4910833333333331</v>
      </c>
      <c r="R139" s="11">
        <v>-8.941560281866618</v>
      </c>
    </row>
    <row r="140" spans="15:18" ht="13.5" customHeight="1" x14ac:dyDescent="0.2">
      <c r="O140" s="11">
        <v>3.3</v>
      </c>
      <c r="P140" s="11">
        <v>18.956483333333335</v>
      </c>
      <c r="Q140" s="11">
        <v>-3.6118333333333323</v>
      </c>
      <c r="R140" s="11">
        <v>-8.8673624928930366</v>
      </c>
    </row>
    <row r="141" spans="15:18" ht="13.5" customHeight="1" x14ac:dyDescent="0.2">
      <c r="O141" s="11">
        <v>3.3250000000000002</v>
      </c>
      <c r="P141" s="11">
        <v>18.864672916666667</v>
      </c>
      <c r="Q141" s="11">
        <v>-3.733083333333334</v>
      </c>
      <c r="R141" s="11">
        <v>-8.7909177918153656</v>
      </c>
    </row>
    <row r="142" spans="15:18" ht="13.5" customHeight="1" x14ac:dyDescent="0.2">
      <c r="O142" s="11">
        <v>3.3299999000000002</v>
      </c>
      <c r="P142" s="11">
        <v>18.84594710907264</v>
      </c>
      <c r="Q142" s="11">
        <v>-3.757392846933338</v>
      </c>
      <c r="R142" s="11">
        <v>-8.7753604855312748</v>
      </c>
    </row>
    <row r="143" spans="15:18" ht="13.5" customHeight="1" x14ac:dyDescent="0.2">
      <c r="O143" s="11">
        <v>3.3300000999999999</v>
      </c>
      <c r="P143" s="11">
        <v>18.845945957593976</v>
      </c>
      <c r="Q143" s="11">
        <v>-7.7573938197333359</v>
      </c>
      <c r="R143" s="11">
        <v>-8.7753598614388792</v>
      </c>
    </row>
    <row r="144" spans="15:18" ht="13.5" customHeight="1" x14ac:dyDescent="0.2">
      <c r="O144" s="11">
        <v>3.35</v>
      </c>
      <c r="P144" s="11">
        <v>18.689824999999999</v>
      </c>
      <c r="Q144" s="11">
        <v>-7.8548333333333318</v>
      </c>
      <c r="R144" s="11">
        <v>-8.712238072660643</v>
      </c>
    </row>
    <row r="145" spans="15:18" ht="13.5" customHeight="1" x14ac:dyDescent="0.2">
      <c r="O145" s="11">
        <v>3.375</v>
      </c>
      <c r="P145" s="11">
        <v>18.491927083333337</v>
      </c>
      <c r="Q145" s="11">
        <v>-7.9770833333333329</v>
      </c>
      <c r="R145" s="11">
        <v>-8.6313430648874405</v>
      </c>
    </row>
    <row r="146" spans="15:18" ht="13.5" customHeight="1" x14ac:dyDescent="0.2">
      <c r="O146" s="11">
        <v>3.4</v>
      </c>
      <c r="P146" s="11">
        <v>18.290966666666666</v>
      </c>
      <c r="Q146" s="11">
        <v>-8.0998333333333328</v>
      </c>
      <c r="R146" s="11">
        <v>-8.5482562099684198</v>
      </c>
    </row>
    <row r="147" spans="15:18" ht="13.5" customHeight="1" x14ac:dyDescent="0.2">
      <c r="O147" s="11">
        <v>3.4249999999999998</v>
      </c>
      <c r="P147" s="11">
        <v>18.086931250000003</v>
      </c>
      <c r="Q147" s="11">
        <v>-8.2230833333333315</v>
      </c>
      <c r="R147" s="11">
        <v>-8.4630013281834255</v>
      </c>
    </row>
    <row r="148" spans="15:18" ht="13.5" customHeight="1" x14ac:dyDescent="0.2">
      <c r="O148" s="11">
        <v>3.45</v>
      </c>
      <c r="P148" s="11">
        <v>17.879808333333333</v>
      </c>
      <c r="Q148" s="11">
        <v>-8.3468333333333344</v>
      </c>
      <c r="R148" s="11">
        <v>-8.3756026042969243</v>
      </c>
    </row>
    <row r="149" spans="15:18" ht="13.5" customHeight="1" x14ac:dyDescent="0.2">
      <c r="O149" s="11">
        <v>3.4750000000000001</v>
      </c>
      <c r="P149" s="11">
        <v>17.669585416666671</v>
      </c>
      <c r="Q149" s="11">
        <v>-8.4710833333333344</v>
      </c>
      <c r="R149" s="11">
        <v>-8.2860845890396355</v>
      </c>
    </row>
    <row r="150" spans="15:18" ht="13.5" customHeight="1" x14ac:dyDescent="0.2">
      <c r="O150" s="11">
        <v>3.5</v>
      </c>
      <c r="P150" s="11">
        <v>17.456249999999997</v>
      </c>
      <c r="Q150" s="11">
        <v>-8.5958333333333332</v>
      </c>
      <c r="R150" s="11">
        <v>-8.1944722005902033</v>
      </c>
    </row>
    <row r="151" spans="15:18" ht="13.5" customHeight="1" x14ac:dyDescent="0.2">
      <c r="O151" s="11">
        <v>3.5249999999999999</v>
      </c>
      <c r="P151" s="11">
        <v>17.239797743055558</v>
      </c>
      <c r="Q151" s="11">
        <v>-8.7201041666666672</v>
      </c>
      <c r="R151" s="11">
        <v>-8.1007907260084533</v>
      </c>
    </row>
    <row r="152" spans="15:18" ht="13.5" customHeight="1" x14ac:dyDescent="0.2">
      <c r="O152" s="11">
        <v>3.55</v>
      </c>
      <c r="P152" s="11">
        <v>17.020256944444448</v>
      </c>
      <c r="Q152" s="11">
        <v>-8.8429166666666656</v>
      </c>
      <c r="R152" s="11">
        <v>-8.005065821411355</v>
      </c>
    </row>
    <row r="153" spans="15:18" ht="13.5" customHeight="1" x14ac:dyDescent="0.2">
      <c r="O153" s="11">
        <v>3.5750000000000002</v>
      </c>
      <c r="P153" s="11">
        <v>16.797664062499997</v>
      </c>
      <c r="Q153" s="11">
        <v>-8.9642708333333339</v>
      </c>
      <c r="R153" s="11">
        <v>-7.9073235089572549</v>
      </c>
    </row>
    <row r="154" spans="15:18" ht="13.5" customHeight="1" x14ac:dyDescent="0.2">
      <c r="O154" s="11">
        <v>3.6</v>
      </c>
      <c r="P154" s="11">
        <v>16.572055555555554</v>
      </c>
      <c r="Q154" s="11">
        <v>-9.0841666666666665</v>
      </c>
      <c r="R154" s="11">
        <v>-7.8075901725727599</v>
      </c>
    </row>
    <row r="155" spans="15:18" ht="13.5" customHeight="1" x14ac:dyDescent="0.2">
      <c r="O155" s="11">
        <v>3.625</v>
      </c>
      <c r="P155" s="11">
        <v>16.343467881944441</v>
      </c>
      <c r="Q155" s="11">
        <v>-9.2026041666666671</v>
      </c>
      <c r="R155" s="11">
        <v>-7.7058925536312968</v>
      </c>
    </row>
    <row r="156" spans="15:18" ht="13.5" customHeight="1" x14ac:dyDescent="0.2">
      <c r="O156" s="11">
        <v>3.65</v>
      </c>
      <c r="P156" s="11">
        <v>16.1119375</v>
      </c>
      <c r="Q156" s="11">
        <v>-9.319583333333334</v>
      </c>
      <c r="R156" s="11">
        <v>-7.602257746631623</v>
      </c>
    </row>
    <row r="157" spans="15:18" ht="13.5" customHeight="1" x14ac:dyDescent="0.2">
      <c r="O157" s="11">
        <v>3.6749999999999998</v>
      </c>
      <c r="P157" s="11">
        <v>15.877500868055559</v>
      </c>
      <c r="Q157" s="11">
        <v>-9.4351041666666653</v>
      </c>
      <c r="R157" s="11">
        <v>-7.4967131948763797</v>
      </c>
    </row>
    <row r="158" spans="15:18" ht="13.5" customHeight="1" x14ac:dyDescent="0.2">
      <c r="O158" s="11">
        <v>3.7</v>
      </c>
      <c r="P158" s="11">
        <v>15.640194444444443</v>
      </c>
      <c r="Q158" s="11">
        <v>-9.5491666666666681</v>
      </c>
      <c r="R158" s="11">
        <v>-7.3892866861506192</v>
      </c>
    </row>
    <row r="159" spans="15:18" ht="13.5" customHeight="1" x14ac:dyDescent="0.2">
      <c r="O159" s="11">
        <v>3.7250000000000001</v>
      </c>
      <c r="P159" s="11">
        <v>15.400054687499999</v>
      </c>
      <c r="Q159" s="11">
        <v>-9.6617708333333336</v>
      </c>
      <c r="R159" s="11">
        <v>-7.2800063484003461</v>
      </c>
    </row>
    <row r="160" spans="15:18" ht="13.5" customHeight="1" x14ac:dyDescent="0.2">
      <c r="O160" s="11">
        <v>3.75</v>
      </c>
      <c r="P160" s="11">
        <v>15.157118055555554</v>
      </c>
      <c r="Q160" s="11">
        <v>-9.7729166666666671</v>
      </c>
      <c r="R160" s="11">
        <v>-7.1689006454110515</v>
      </c>
    </row>
    <row r="161" spans="15:18" ht="13.5" customHeight="1" x14ac:dyDescent="0.2">
      <c r="O161" s="11">
        <v>3.7749999999999999</v>
      </c>
      <c r="P161" s="11">
        <v>14.911421006944444</v>
      </c>
      <c r="Q161" s="11">
        <v>-9.8826041666666669</v>
      </c>
      <c r="R161" s="11">
        <v>-7.0559983724862443</v>
      </c>
    </row>
    <row r="162" spans="15:18" ht="13.5" customHeight="1" x14ac:dyDescent="0.2">
      <c r="O162" s="11">
        <v>3.8</v>
      </c>
      <c r="P162" s="11">
        <v>14.663</v>
      </c>
      <c r="Q162" s="11">
        <v>-9.9908333333333328</v>
      </c>
      <c r="R162" s="11">
        <v>-6.9413286521259963</v>
      </c>
    </row>
    <row r="163" spans="15:18" ht="13.5" customHeight="1" x14ac:dyDescent="0.2">
      <c r="O163" s="11">
        <v>3.8250000000000002</v>
      </c>
      <c r="P163" s="11">
        <v>14.411891493055553</v>
      </c>
      <c r="Q163" s="11">
        <v>-10.097604166666668</v>
      </c>
      <c r="R163" s="11">
        <v>-6.824920929705474</v>
      </c>
    </row>
    <row r="164" spans="15:18" ht="13.5" customHeight="1" x14ac:dyDescent="0.2">
      <c r="O164" s="11">
        <v>3.85</v>
      </c>
      <c r="P164" s="11">
        <v>14.158131944444444</v>
      </c>
      <c r="Q164" s="11">
        <v>-10.202916666666667</v>
      </c>
      <c r="R164" s="11">
        <v>-6.7068049691534686</v>
      </c>
    </row>
    <row r="165" spans="15:18" ht="13.5" customHeight="1" x14ac:dyDescent="0.2">
      <c r="O165" s="11">
        <v>3.875</v>
      </c>
      <c r="P165" s="11">
        <v>13.901757812500001</v>
      </c>
      <c r="Q165" s="11">
        <v>-10.306770833333333</v>
      </c>
      <c r="R165" s="11">
        <v>-6.58701084863094</v>
      </c>
    </row>
    <row r="166" spans="15:18" ht="13.5" customHeight="1" x14ac:dyDescent="0.2">
      <c r="O166" s="11">
        <v>3.9</v>
      </c>
      <c r="P166" s="11">
        <v>13.642805555555555</v>
      </c>
      <c r="Q166" s="11">
        <v>-10.409166666666666</v>
      </c>
      <c r="R166" s="11">
        <v>-6.4655689562095553</v>
      </c>
    </row>
    <row r="167" spans="15:18" ht="13.5" customHeight="1" x14ac:dyDescent="0.2">
      <c r="O167" s="11">
        <v>3.9249999999999998</v>
      </c>
      <c r="P167" s="11">
        <v>13.381311631944445</v>
      </c>
      <c r="Q167" s="11">
        <v>-10.510104166666666</v>
      </c>
      <c r="R167" s="11">
        <v>-6.3425099855502118</v>
      </c>
    </row>
    <row r="168" spans="15:18" ht="13.5" customHeight="1" x14ac:dyDescent="0.2">
      <c r="O168" s="11">
        <v>3.95</v>
      </c>
      <c r="P168" s="11">
        <v>13.117312499999997</v>
      </c>
      <c r="Q168" s="11">
        <v>-10.609583333333335</v>
      </c>
      <c r="R168" s="11">
        <v>-6.2178649315815893</v>
      </c>
    </row>
    <row r="169" spans="15:18" ht="13.5" customHeight="1" x14ac:dyDescent="0.2">
      <c r="O169" s="11">
        <v>3.9750000000000001</v>
      </c>
      <c r="P169" s="11">
        <v>12.850844618055552</v>
      </c>
      <c r="Q169" s="11">
        <v>-10.707604166666668</v>
      </c>
      <c r="R169" s="11">
        <v>-6.0916650861786703</v>
      </c>
    </row>
    <row r="170" spans="15:18" ht="13.5" customHeight="1" x14ac:dyDescent="0.2">
      <c r="O170" s="11">
        <v>4</v>
      </c>
      <c r="P170" s="11">
        <v>12.581944444444444</v>
      </c>
      <c r="Q170" s="11">
        <v>-10.804166666666667</v>
      </c>
      <c r="R170" s="11">
        <v>-5.9639420338412883</v>
      </c>
    </row>
    <row r="171" spans="15:18" ht="13.5" customHeight="1" x14ac:dyDescent="0.2">
      <c r="O171" s="11">
        <v>4.0250000000000004</v>
      </c>
      <c r="P171" s="11">
        <v>12.310648437499996</v>
      </c>
      <c r="Q171" s="11">
        <v>-10.899270833333334</v>
      </c>
      <c r="R171" s="11">
        <v>-5.8347276473726559</v>
      </c>
    </row>
    <row r="172" spans="15:18" ht="13.5" customHeight="1" x14ac:dyDescent="0.2">
      <c r="O172" s="11">
        <v>4.05</v>
      </c>
      <c r="P172" s="11">
        <v>12.036993055555557</v>
      </c>
      <c r="Q172" s="11">
        <v>-10.992916666666666</v>
      </c>
      <c r="R172" s="11">
        <v>-5.7040540835579119</v>
      </c>
    </row>
    <row r="173" spans="15:18" ht="13.5" customHeight="1" x14ac:dyDescent="0.2">
      <c r="O173" s="11">
        <v>4.0750000000000002</v>
      </c>
      <c r="P173" s="11">
        <v>11.761014756944441</v>
      </c>
      <c r="Q173" s="11">
        <v>-11.085104166666667</v>
      </c>
      <c r="R173" s="11">
        <v>-5.571953778842639</v>
      </c>
    </row>
    <row r="174" spans="15:18" ht="13.5" customHeight="1" x14ac:dyDescent="0.2">
      <c r="O174" s="11">
        <v>4.0999999999999996</v>
      </c>
      <c r="P174" s="11">
        <v>11.482750000000003</v>
      </c>
      <c r="Q174" s="11">
        <v>-11.175833333333333</v>
      </c>
      <c r="R174" s="11">
        <v>-5.4384594450114143</v>
      </c>
    </row>
    <row r="175" spans="15:18" ht="13.5" customHeight="1" x14ac:dyDescent="0.2">
      <c r="O175" s="11">
        <v>4.125</v>
      </c>
      <c r="P175" s="11">
        <v>11.202235243055556</v>
      </c>
      <c r="Q175" s="11">
        <v>-11.265104166666667</v>
      </c>
      <c r="R175" s="11">
        <v>-5.3036040648663469</v>
      </c>
    </row>
    <row r="176" spans="15:18" ht="13.5" customHeight="1" x14ac:dyDescent="0.2">
      <c r="O176" s="11">
        <v>4.1500000000000004</v>
      </c>
      <c r="P176" s="11">
        <v>10.919506944444443</v>
      </c>
      <c r="Q176" s="11">
        <v>-11.352916666666669</v>
      </c>
      <c r="R176" s="11">
        <v>-5.1674208879055996</v>
      </c>
    </row>
    <row r="177" spans="15:18" ht="13.5" customHeight="1" x14ac:dyDescent="0.2">
      <c r="O177" s="11">
        <v>4.1749999999999998</v>
      </c>
      <c r="P177" s="11">
        <v>10.634601562500002</v>
      </c>
      <c r="Q177" s="11">
        <v>-11.439270833333333</v>
      </c>
      <c r="R177" s="11">
        <v>-5.0299434260019362</v>
      </c>
    </row>
    <row r="178" spans="15:18" ht="13.5" customHeight="1" x14ac:dyDescent="0.2">
      <c r="O178" s="11">
        <v>4.2</v>
      </c>
      <c r="P178" s="11">
        <v>10.347555555555553</v>
      </c>
      <c r="Q178" s="11">
        <v>-11.524166666666668</v>
      </c>
      <c r="R178" s="11">
        <v>-4.8912054490812631</v>
      </c>
    </row>
    <row r="179" spans="15:18" ht="13.5" customHeight="1" x14ac:dyDescent="0.2">
      <c r="O179" s="11">
        <v>4.2249999999999996</v>
      </c>
      <c r="P179" s="11">
        <v>10.058405381944446</v>
      </c>
      <c r="Q179" s="11">
        <v>-11.607604166666667</v>
      </c>
      <c r="R179" s="11">
        <v>-4.7512409808011453</v>
      </c>
    </row>
    <row r="180" spans="15:18" ht="13.5" customHeight="1" x14ac:dyDescent="0.2">
      <c r="O180" s="11">
        <v>4.25</v>
      </c>
      <c r="P180" s="11">
        <v>9.7671874999999986</v>
      </c>
      <c r="Q180" s="11">
        <v>-11.689583333333333</v>
      </c>
      <c r="R180" s="11">
        <v>-4.6100842942293641</v>
      </c>
    </row>
    <row r="181" spans="15:18" ht="13.5" customHeight="1" x14ac:dyDescent="0.2">
      <c r="O181" s="11">
        <v>4.2750000000000004</v>
      </c>
      <c r="P181" s="11">
        <v>9.4739383680555527</v>
      </c>
      <c r="Q181" s="11">
        <v>-11.770104166666668</v>
      </c>
      <c r="R181" s="11">
        <v>-4.4677699075224364</v>
      </c>
    </row>
    <row r="182" spans="15:18" ht="13.5" customHeight="1" x14ac:dyDescent="0.2">
      <c r="O182" s="11">
        <v>4.3</v>
      </c>
      <c r="P182" s="11">
        <v>9.1786944444444458</v>
      </c>
      <c r="Q182" s="11">
        <v>-11.849166666666667</v>
      </c>
      <c r="R182" s="11">
        <v>-4.3243325796041585</v>
      </c>
    </row>
    <row r="183" spans="15:18" ht="13.5" customHeight="1" x14ac:dyDescent="0.2">
      <c r="O183" s="11">
        <v>4.3250000000000002</v>
      </c>
      <c r="P183" s="11">
        <v>8.8814921874999957</v>
      </c>
      <c r="Q183" s="11">
        <v>-11.926770833333334</v>
      </c>
      <c r="R183" s="11">
        <v>-4.1798073058441494</v>
      </c>
    </row>
    <row r="184" spans="15:18" ht="13.5" customHeight="1" x14ac:dyDescent="0.2">
      <c r="O184" s="11">
        <v>4.3499999999999996</v>
      </c>
      <c r="P184" s="11">
        <v>8.582368055555559</v>
      </c>
      <c r="Q184" s="11">
        <v>-12.002916666666666</v>
      </c>
      <c r="R184" s="11">
        <v>-4.0342293137363692</v>
      </c>
    </row>
    <row r="185" spans="15:18" ht="13.5" customHeight="1" x14ac:dyDescent="0.2">
      <c r="O185" s="11">
        <v>4.375</v>
      </c>
      <c r="P185" s="11">
        <v>8.2813585069444429</v>
      </c>
      <c r="Q185" s="11">
        <v>-12.077604166666667</v>
      </c>
      <c r="R185" s="11">
        <v>-3.8876340585776692</v>
      </c>
    </row>
    <row r="186" spans="15:18" ht="13.5" customHeight="1" x14ac:dyDescent="0.2">
      <c r="O186" s="11">
        <v>4.4000000000000004</v>
      </c>
      <c r="P186" s="11">
        <v>7.978499999999995</v>
      </c>
      <c r="Q186" s="11">
        <v>-12.150833333333335</v>
      </c>
      <c r="R186" s="11">
        <v>-3.7400572191463217</v>
      </c>
    </row>
    <row r="187" spans="15:18" ht="13.5" customHeight="1" x14ac:dyDescent="0.2">
      <c r="O187" s="11">
        <v>4.4249999999999998</v>
      </c>
      <c r="P187" s="11">
        <v>7.6738289930555563</v>
      </c>
      <c r="Q187" s="11">
        <v>-12.222604166666667</v>
      </c>
      <c r="R187" s="11">
        <v>-3.5915346933805603</v>
      </c>
    </row>
    <row r="188" spans="15:18" ht="13.5" customHeight="1" x14ac:dyDescent="0.2">
      <c r="O188" s="11">
        <v>4.45</v>
      </c>
      <c r="P188" s="11">
        <v>7.3673819444444426</v>
      </c>
      <c r="Q188" s="11">
        <v>-12.292916666666668</v>
      </c>
      <c r="R188" s="11">
        <v>-3.4421025940571108</v>
      </c>
    </row>
    <row r="189" spans="15:18" ht="13.5" customHeight="1" x14ac:dyDescent="0.2">
      <c r="O189" s="11">
        <v>4.4749999999999996</v>
      </c>
      <c r="P189" s="11">
        <v>7.0591953125000044</v>
      </c>
      <c r="Q189" s="11">
        <v>-12.361770833333333</v>
      </c>
      <c r="R189" s="11">
        <v>-3.2917972444697297</v>
      </c>
    </row>
    <row r="190" spans="15:18" ht="13.5" customHeight="1" x14ac:dyDescent="0.2">
      <c r="O190" s="11">
        <v>4.5</v>
      </c>
      <c r="P190" s="11">
        <v>6.7493055555555559</v>
      </c>
      <c r="Q190" s="11">
        <v>-12.429166666666667</v>
      </c>
      <c r="R190" s="11">
        <v>-3.1406551741077444</v>
      </c>
    </row>
    <row r="191" spans="15:18" ht="13.5" customHeight="1" x14ac:dyDescent="0.2">
      <c r="O191" s="11">
        <v>4.5250000000000004</v>
      </c>
      <c r="P191" s="11">
        <v>6.4377491319444404</v>
      </c>
      <c r="Q191" s="11">
        <v>-12.495104166666669</v>
      </c>
      <c r="R191" s="11">
        <v>-2.9887131143345798</v>
      </c>
    </row>
    <row r="192" spans="15:18" ht="13.5" customHeight="1" x14ac:dyDescent="0.2">
      <c r="O192" s="11">
        <v>4.55</v>
      </c>
      <c r="P192" s="11">
        <v>6.1245625000000032</v>
      </c>
      <c r="Q192" s="11">
        <v>-12.559583333333334</v>
      </c>
      <c r="R192" s="11">
        <v>-2.8360079940663021</v>
      </c>
    </row>
    <row r="193" spans="15:18" ht="13.5" customHeight="1" x14ac:dyDescent="0.2">
      <c r="O193" s="11">
        <v>4.5750000000000002</v>
      </c>
      <c r="P193" s="11">
        <v>5.8097821180555531</v>
      </c>
      <c r="Q193" s="11">
        <v>-12.622604166666667</v>
      </c>
      <c r="R193" s="11">
        <v>-2.6825769354501547</v>
      </c>
    </row>
    <row r="194" spans="15:18" ht="13.5" customHeight="1" x14ac:dyDescent="0.2">
      <c r="O194" s="11">
        <v>4.5999999999999996</v>
      </c>
      <c r="P194" s="11">
        <v>5.4934444444444486</v>
      </c>
      <c r="Q194" s="11">
        <v>-12.684166666666666</v>
      </c>
      <c r="R194" s="11">
        <v>-2.5284572495430879</v>
      </c>
    </row>
    <row r="195" spans="15:18" ht="13.5" customHeight="1" x14ac:dyDescent="0.2">
      <c r="O195" s="11">
        <v>4.625</v>
      </c>
      <c r="P195" s="11">
        <v>5.1755859374999993</v>
      </c>
      <c r="Q195" s="11">
        <v>-12.744270833333333</v>
      </c>
      <c r="R195" s="11">
        <v>-2.3736864319903006</v>
      </c>
    </row>
    <row r="196" spans="15:18" ht="13.5" customHeight="1" x14ac:dyDescent="0.2">
      <c r="O196" s="11">
        <v>4.6500000000000004</v>
      </c>
      <c r="P196" s="11">
        <v>4.8562430555555505</v>
      </c>
      <c r="Q196" s="11">
        <v>-12.802916666666668</v>
      </c>
      <c r="R196" s="11">
        <v>-2.218302158703775</v>
      </c>
    </row>
    <row r="197" spans="15:18" ht="13.5" customHeight="1" x14ac:dyDescent="0.2">
      <c r="O197" s="11">
        <v>4.6749999999999998</v>
      </c>
      <c r="P197" s="11">
        <v>4.5354522569444473</v>
      </c>
      <c r="Q197" s="11">
        <v>-12.860104166666668</v>
      </c>
      <c r="R197" s="11">
        <v>-2.0623422815408117</v>
      </c>
    </row>
    <row r="198" spans="15:18" ht="13.5" customHeight="1" x14ac:dyDescent="0.2">
      <c r="O198" s="11">
        <v>4.7</v>
      </c>
      <c r="P198" s="11">
        <v>4.2132499999999968</v>
      </c>
      <c r="Q198" s="11">
        <v>-12.915833333333333</v>
      </c>
      <c r="R198" s="11">
        <v>-1.9058448239825678</v>
      </c>
    </row>
    <row r="199" spans="15:18" ht="13.5" customHeight="1" x14ac:dyDescent="0.2">
      <c r="O199" s="11">
        <v>4.7249999999999996</v>
      </c>
      <c r="P199" s="11">
        <v>3.8896727430555593</v>
      </c>
      <c r="Q199" s="11">
        <v>-12.970104166666667</v>
      </c>
      <c r="R199" s="11">
        <v>-1.7488479768125902</v>
      </c>
    </row>
    <row r="200" spans="15:18" ht="13.5" customHeight="1" x14ac:dyDescent="0.2">
      <c r="O200" s="11">
        <v>4.75</v>
      </c>
      <c r="P200" s="11">
        <v>3.5647569444444445</v>
      </c>
      <c r="Q200" s="11">
        <v>-13.022916666666667</v>
      </c>
      <c r="R200" s="11">
        <v>-1.5913900937953527</v>
      </c>
    </row>
    <row r="201" spans="15:18" ht="13.5" customHeight="1" x14ac:dyDescent="0.2">
      <c r="O201" s="11">
        <v>4.7750000000000004</v>
      </c>
      <c r="P201" s="11">
        <v>3.2385390624999943</v>
      </c>
      <c r="Q201" s="11">
        <v>-13.074270833333335</v>
      </c>
      <c r="R201" s="11">
        <v>-1.4335096873547928</v>
      </c>
    </row>
    <row r="202" spans="15:18" ht="13.5" customHeight="1" x14ac:dyDescent="0.2">
      <c r="O202" s="11">
        <v>4.8</v>
      </c>
      <c r="P202" s="11">
        <v>2.9110555555555577</v>
      </c>
      <c r="Q202" s="11">
        <v>-13.124166666666666</v>
      </c>
      <c r="R202" s="11">
        <v>-1.2752454242528461</v>
      </c>
    </row>
    <row r="203" spans="15:18" ht="13.5" customHeight="1" x14ac:dyDescent="0.2">
      <c r="O203" s="11">
        <v>4.8250000000000002</v>
      </c>
      <c r="P203" s="11">
        <v>2.5823428819444416</v>
      </c>
      <c r="Q203" s="11">
        <v>-13.172604166666668</v>
      </c>
      <c r="R203" s="11">
        <v>-1.1166361212679847</v>
      </c>
    </row>
    <row r="204" spans="15:18" ht="13.5" customHeight="1" x14ac:dyDescent="0.2">
      <c r="O204" s="11">
        <v>4.8499999999999996</v>
      </c>
      <c r="P204" s="11">
        <v>2.2524375000000041</v>
      </c>
      <c r="Q204" s="11">
        <v>-13.219583333333334</v>
      </c>
      <c r="R204" s="11">
        <v>-0.95772074087375292</v>
      </c>
    </row>
    <row r="205" spans="15:18" ht="13.5" customHeight="1" x14ac:dyDescent="0.2">
      <c r="O205" s="11">
        <v>4.875</v>
      </c>
      <c r="P205" s="11">
        <v>1.9213758680555555</v>
      </c>
      <c r="Q205" s="11">
        <v>-13.265104166666667</v>
      </c>
      <c r="R205" s="11">
        <v>-0.79853838691729873</v>
      </c>
    </row>
    <row r="206" spans="15:18" ht="13.5" customHeight="1" x14ac:dyDescent="0.2">
      <c r="O206" s="11">
        <v>4.9000000000000004</v>
      </c>
      <c r="P206" s="11">
        <v>1.5891944444444395</v>
      </c>
      <c r="Q206" s="11">
        <v>-13.309166666666668</v>
      </c>
      <c r="R206" s="11">
        <v>-0.6391283002979159</v>
      </c>
    </row>
    <row r="207" spans="15:18" ht="13.5" customHeight="1" x14ac:dyDescent="0.2">
      <c r="O207" s="11">
        <v>4.9249999999999998</v>
      </c>
      <c r="P207" s="11">
        <v>1.2559296875000012</v>
      </c>
      <c r="Q207" s="11">
        <v>-13.351770833333335</v>
      </c>
      <c r="R207" s="11">
        <v>-0.47952985464557712</v>
      </c>
    </row>
    <row r="208" spans="15:18" ht="13.5" customHeight="1" x14ac:dyDescent="0.2">
      <c r="O208" s="11">
        <v>4.95</v>
      </c>
      <c r="P208" s="11">
        <v>0.92161805555555265</v>
      </c>
      <c r="Q208" s="11">
        <v>-13.392916666666668</v>
      </c>
      <c r="R208" s="11">
        <v>-0.31978255199946976</v>
      </c>
    </row>
    <row r="209" spans="15:18" ht="13.5" customHeight="1" x14ac:dyDescent="0.2">
      <c r="O209" s="11">
        <v>4.9749999999999996</v>
      </c>
      <c r="P209" s="11">
        <v>0.58629600694444939</v>
      </c>
      <c r="Q209" s="11">
        <v>-13.432604166666666</v>
      </c>
      <c r="R209" s="11">
        <v>-0.1599260184865329</v>
      </c>
    </row>
    <row r="210" spans="15:18" ht="13.5" customHeight="1" x14ac:dyDescent="0.2">
      <c r="O210" s="11">
        <v>4.9999998999999997</v>
      </c>
      <c r="P210" s="11">
        <v>0.25000134708332844</v>
      </c>
      <c r="Q210" s="11">
        <v>-13.470833183333321</v>
      </c>
      <c r="R210" s="11">
        <v>-6.3978992631913235E-7</v>
      </c>
    </row>
    <row r="211" spans="15:18" ht="13.5" customHeight="1" x14ac:dyDescent="0.2">
      <c r="O211" s="11">
        <v>5</v>
      </c>
      <c r="P211" s="11">
        <v>0.25</v>
      </c>
      <c r="Q211" s="11">
        <v>-13.470833333333333</v>
      </c>
      <c r="R211" s="11">
        <v>6.5780714209040525E-15</v>
      </c>
    </row>
    <row r="212" spans="15:18" ht="13.5" customHeight="1" x14ac:dyDescent="0.2">
      <c r="O212" s="11">
        <v>5.0000001000000003</v>
      </c>
      <c r="P212" s="11">
        <v>0.25000042499999342</v>
      </c>
      <c r="Q212" s="11">
        <v>4.2499998500000071</v>
      </c>
      <c r="R212" s="11">
        <v>6.3978993459112345E-7</v>
      </c>
    </row>
    <row r="213" spans="15:18" ht="13.5" customHeight="1" x14ac:dyDescent="0.2">
      <c r="O213" s="11">
        <v>5.0250000000000004</v>
      </c>
      <c r="P213" s="11">
        <v>0.3557851562500014</v>
      </c>
      <c r="Q213" s="11">
        <v>4.2129687499999999</v>
      </c>
      <c r="R213" s="11">
        <v>0.15996439410270222</v>
      </c>
    </row>
    <row r="214" spans="15:18" ht="13.5" customHeight="1" x14ac:dyDescent="0.2">
      <c r="O214" s="11">
        <v>5.05</v>
      </c>
      <c r="P214" s="11">
        <v>0.46065624999999955</v>
      </c>
      <c r="Q214" s="11">
        <v>4.1768750000000008</v>
      </c>
      <c r="R214" s="11">
        <v>0.31997095095452815</v>
      </c>
    </row>
    <row r="215" spans="15:18" ht="13.5" customHeight="1" x14ac:dyDescent="0.2">
      <c r="O215" s="11">
        <v>5.0750000000000002</v>
      </c>
      <c r="P215" s="11">
        <v>0.56463671875000077</v>
      </c>
      <c r="Q215" s="11">
        <v>4.1417187499999999</v>
      </c>
      <c r="R215" s="11">
        <v>0.48003210132377294</v>
      </c>
    </row>
    <row r="216" spans="15:18" ht="13.5" customHeight="1" x14ac:dyDescent="0.2">
      <c r="O216" s="11">
        <v>5.0999999999999996</v>
      </c>
      <c r="P216" s="11">
        <v>0.66774999999999851</v>
      </c>
      <c r="Q216" s="11">
        <v>4.1074999999999999</v>
      </c>
      <c r="R216" s="11">
        <v>0.64016017041154016</v>
      </c>
    </row>
    <row r="217" spans="15:18" ht="13.5" customHeight="1" x14ac:dyDescent="0.2">
      <c r="O217" s="11">
        <v>5.125</v>
      </c>
      <c r="P217" s="11">
        <v>0.77001953125</v>
      </c>
      <c r="Q217" s="11">
        <v>4.07421875</v>
      </c>
      <c r="R217" s="11">
        <v>0.80036738062982637</v>
      </c>
    </row>
    <row r="218" spans="15:18" ht="13.5" customHeight="1" x14ac:dyDescent="0.2">
      <c r="O218" s="11">
        <v>5.15</v>
      </c>
      <c r="P218" s="11">
        <v>0.87146875000000135</v>
      </c>
      <c r="Q218" s="11">
        <v>4.0418749999999992</v>
      </c>
      <c r="R218" s="11">
        <v>0.96066585437960361</v>
      </c>
    </row>
    <row r="219" spans="15:18" ht="13.5" customHeight="1" x14ac:dyDescent="0.2">
      <c r="O219" s="11">
        <v>5.1749999999999998</v>
      </c>
      <c r="P219" s="11">
        <v>0.97212109374999933</v>
      </c>
      <c r="Q219" s="11">
        <v>4.0104687500000002</v>
      </c>
      <c r="R219" s="11">
        <v>1.121067616828906</v>
      </c>
    </row>
    <row r="220" spans="15:18" ht="13.5" customHeight="1" x14ac:dyDescent="0.2">
      <c r="O220" s="11">
        <v>5.2</v>
      </c>
      <c r="P220" s="11">
        <v>1.0720000000000007</v>
      </c>
      <c r="Q220" s="11">
        <v>3.9799999999999995</v>
      </c>
      <c r="R220" s="11">
        <v>1.2815845986909105</v>
      </c>
    </row>
    <row r="221" spans="15:18" ht="13.5" customHeight="1" x14ac:dyDescent="0.2">
      <c r="O221" s="11">
        <v>5.2249999999999996</v>
      </c>
      <c r="P221" s="11">
        <v>1.1711289062499985</v>
      </c>
      <c r="Q221" s="11">
        <v>3.9504687500000006</v>
      </c>
      <c r="R221" s="11">
        <v>1.4422286390020245</v>
      </c>
    </row>
    <row r="222" spans="15:18" ht="13.5" customHeight="1" x14ac:dyDescent="0.2">
      <c r="O222" s="11">
        <v>5.25</v>
      </c>
      <c r="P222" s="11">
        <v>1.26953125</v>
      </c>
      <c r="Q222" s="11">
        <v>3.921875</v>
      </c>
      <c r="R222" s="11">
        <v>1.6030114878999664</v>
      </c>
    </row>
    <row r="223" spans="15:18" ht="13.5" customHeight="1" x14ac:dyDescent="0.2">
      <c r="O223" s="11">
        <v>5.2750000000000004</v>
      </c>
      <c r="P223" s="11">
        <v>1.3672304687500014</v>
      </c>
      <c r="Q223" s="11">
        <v>3.8942187499999994</v>
      </c>
      <c r="R223" s="11">
        <v>1.7639448094018517</v>
      </c>
    </row>
    <row r="224" spans="15:18" ht="13.5" customHeight="1" x14ac:dyDescent="0.2">
      <c r="O224" s="11">
        <v>5.3</v>
      </c>
      <c r="P224" s="11">
        <v>1.4642499999999994</v>
      </c>
      <c r="Q224" s="11">
        <v>3.8675000000000002</v>
      </c>
      <c r="R224" s="11">
        <v>1.9250401841822762</v>
      </c>
    </row>
    <row r="225" spans="15:18" ht="13.5" customHeight="1" x14ac:dyDescent="0.2">
      <c r="O225" s="11">
        <v>5.3250000000000002</v>
      </c>
      <c r="P225" s="11">
        <v>1.5606132812500007</v>
      </c>
      <c r="Q225" s="11">
        <v>3.8417187499999996</v>
      </c>
      <c r="R225" s="11">
        <v>2.0863091123514002</v>
      </c>
    </row>
    <row r="226" spans="15:18" ht="13.5" customHeight="1" x14ac:dyDescent="0.2">
      <c r="O226" s="11">
        <v>5.35</v>
      </c>
      <c r="P226" s="11">
        <v>1.6563437499999987</v>
      </c>
      <c r="Q226" s="11">
        <v>3.8168750000000005</v>
      </c>
      <c r="R226" s="11">
        <v>2.2477630162330318</v>
      </c>
    </row>
    <row r="227" spans="15:18" ht="13.5" customHeight="1" x14ac:dyDescent="0.2">
      <c r="O227" s="11">
        <v>5.375</v>
      </c>
      <c r="P227" s="11">
        <v>1.75146484375</v>
      </c>
      <c r="Q227" s="11">
        <v>3.79296875</v>
      </c>
      <c r="R227" s="11">
        <v>2.4094132431427133</v>
      </c>
    </row>
    <row r="228" spans="15:18" ht="13.5" customHeight="1" x14ac:dyDescent="0.2">
      <c r="O228" s="11">
        <v>5.4</v>
      </c>
      <c r="P228" s="11">
        <v>1.8460000000000014</v>
      </c>
      <c r="Q228" s="11">
        <v>3.7699999999999996</v>
      </c>
      <c r="R228" s="11">
        <v>2.5712710681658013</v>
      </c>
    </row>
    <row r="229" spans="15:18" ht="13.5" customHeight="1" x14ac:dyDescent="0.2">
      <c r="O229" s="11">
        <v>5.4249999999999998</v>
      </c>
      <c r="P229" s="11">
        <v>1.9399726562499993</v>
      </c>
      <c r="Q229" s="11">
        <v>3.7479687500000001</v>
      </c>
      <c r="R229" s="11">
        <v>2.7333476969355539</v>
      </c>
    </row>
    <row r="230" spans="15:18" ht="13.5" customHeight="1" x14ac:dyDescent="0.2">
      <c r="O230" s="11">
        <v>5.45</v>
      </c>
      <c r="P230" s="11">
        <v>2.0334062500000005</v>
      </c>
      <c r="Q230" s="11">
        <v>3.7268749999999997</v>
      </c>
      <c r="R230" s="11">
        <v>2.8956542684112141</v>
      </c>
    </row>
    <row r="231" spans="15:18" ht="13.5" customHeight="1" x14ac:dyDescent="0.2">
      <c r="O231" s="11">
        <v>5.4749999999999996</v>
      </c>
      <c r="P231" s="11">
        <v>2.1263242187499989</v>
      </c>
      <c r="Q231" s="11">
        <v>3.7067187500000003</v>
      </c>
      <c r="R231" s="11">
        <v>3.0582018576560919</v>
      </c>
    </row>
    <row r="232" spans="15:18" ht="13.5" customHeight="1" x14ac:dyDescent="0.2">
      <c r="O232" s="11">
        <v>5.4999998999999997</v>
      </c>
      <c r="P232" s="11">
        <v>2.2187496312499952</v>
      </c>
      <c r="Q232" s="11">
        <v>3.687500075000008</v>
      </c>
      <c r="R232" s="11">
        <v>3.2210008268984782</v>
      </c>
    </row>
    <row r="233" spans="15:18" ht="13.5" customHeight="1" x14ac:dyDescent="0.2">
      <c r="O233" s="11">
        <v>5.5</v>
      </c>
      <c r="P233" s="11">
        <v>2.21875</v>
      </c>
      <c r="Q233" s="11">
        <v>3.6875</v>
      </c>
      <c r="R233" s="11">
        <v>3.2210014786156509</v>
      </c>
    </row>
    <row r="234" spans="15:18" ht="13.5" customHeight="1" x14ac:dyDescent="0.2">
      <c r="O234" s="11">
        <v>5.5000001000000003</v>
      </c>
      <c r="P234" s="11">
        <v>2.2187500687499964</v>
      </c>
      <c r="Q234" s="11">
        <v>0.68749992500000734</v>
      </c>
      <c r="R234" s="11">
        <v>3.221002130332828</v>
      </c>
    </row>
    <row r="235" spans="15:18" ht="13.5" customHeight="1" x14ac:dyDescent="0.2">
      <c r="O235" s="11">
        <v>5.5250000000000004</v>
      </c>
      <c r="P235" s="11">
        <v>2.2357070312500005</v>
      </c>
      <c r="Q235" s="11">
        <v>0.66921874999999975</v>
      </c>
      <c r="R235" s="11">
        <v>3.3840626052507981</v>
      </c>
    </row>
    <row r="236" spans="15:18" ht="13.5" customHeight="1" x14ac:dyDescent="0.2">
      <c r="O236" s="11">
        <v>5.55</v>
      </c>
      <c r="P236" s="11">
        <v>2.2522187499999999</v>
      </c>
      <c r="Q236" s="11">
        <v>0.65187500000000009</v>
      </c>
      <c r="R236" s="11">
        <v>3.5473887293815953</v>
      </c>
    </row>
    <row r="237" spans="15:18" ht="13.5" customHeight="1" x14ac:dyDescent="0.2">
      <c r="O237" s="11">
        <v>5.5750000000000002</v>
      </c>
      <c r="P237" s="11">
        <v>2.26830859375</v>
      </c>
      <c r="Q237" s="11">
        <v>0.63546874999999992</v>
      </c>
      <c r="R237" s="11">
        <v>3.7109818083997164</v>
      </c>
    </row>
    <row r="238" spans="15:18" ht="13.5" customHeight="1" x14ac:dyDescent="0.2">
      <c r="O238" s="11">
        <v>5.6</v>
      </c>
      <c r="P238" s="11">
        <v>2.2839999999999998</v>
      </c>
      <c r="Q238" s="11">
        <v>0.62000000000000022</v>
      </c>
      <c r="R238" s="11">
        <v>3.8748437496913235</v>
      </c>
    </row>
    <row r="239" spans="15:18" ht="13.5" customHeight="1" x14ac:dyDescent="0.2">
      <c r="O239" s="11">
        <v>5.625</v>
      </c>
      <c r="P239" s="11">
        <v>2.29931640625</v>
      </c>
      <c r="Q239" s="11">
        <v>0.60546875</v>
      </c>
      <c r="R239" s="11">
        <v>4.0389764134151518</v>
      </c>
    </row>
    <row r="240" spans="15:18" ht="13.5" customHeight="1" x14ac:dyDescent="0.2">
      <c r="O240" s="11">
        <v>5.65</v>
      </c>
      <c r="P240" s="11">
        <v>2.3142812500000001</v>
      </c>
      <c r="Q240" s="11">
        <v>0.59187499999999982</v>
      </c>
      <c r="R240" s="11">
        <v>4.2033816152805912</v>
      </c>
    </row>
    <row r="241" spans="15:18" ht="13.5" customHeight="1" x14ac:dyDescent="0.2">
      <c r="O241" s="11">
        <v>5.6749999999999998</v>
      </c>
      <c r="P241" s="11">
        <v>2.3289179687499999</v>
      </c>
      <c r="Q241" s="11">
        <v>0.57921875000000012</v>
      </c>
      <c r="R241" s="11">
        <v>4.3680611293257723</v>
      </c>
    </row>
    <row r="242" spans="15:18" ht="13.5" customHeight="1" x14ac:dyDescent="0.2">
      <c r="O242" s="11">
        <v>5.7</v>
      </c>
      <c r="P242" s="11">
        <v>2.3432500000000003</v>
      </c>
      <c r="Q242" s="11">
        <v>0.56749999999999989</v>
      </c>
      <c r="R242" s="11">
        <v>4.5330166906956526</v>
      </c>
    </row>
    <row r="243" spans="15:18" ht="13.5" customHeight="1" x14ac:dyDescent="0.2">
      <c r="O243" s="11">
        <v>5.7249999999999996</v>
      </c>
      <c r="P243" s="11">
        <v>2.3573007812499998</v>
      </c>
      <c r="Q243" s="11">
        <v>0.55671875000000015</v>
      </c>
      <c r="R243" s="11">
        <v>4.6982499984200938</v>
      </c>
    </row>
    <row r="244" spans="15:18" ht="13.5" customHeight="1" x14ac:dyDescent="0.2">
      <c r="O244" s="11">
        <v>5.75</v>
      </c>
      <c r="P244" s="11">
        <v>2.37109375</v>
      </c>
      <c r="Q244" s="11">
        <v>0.546875</v>
      </c>
      <c r="R244" s="11">
        <v>4.8637627181919498</v>
      </c>
    </row>
    <row r="245" spans="15:18" ht="13.5" customHeight="1" x14ac:dyDescent="0.2">
      <c r="O245" s="11">
        <v>5.7750000000000004</v>
      </c>
      <c r="P245" s="11">
        <v>2.38465234375</v>
      </c>
      <c r="Q245" s="11">
        <v>0.53796874999999988</v>
      </c>
      <c r="R245" s="11">
        <v>5.0295564851451564</v>
      </c>
    </row>
    <row r="246" spans="15:18" ht="13.5" customHeight="1" x14ac:dyDescent="0.2">
      <c r="O246" s="11">
        <v>5.8</v>
      </c>
      <c r="P246" s="11">
        <v>2.3979999999999997</v>
      </c>
      <c r="Q246" s="11">
        <v>0.53</v>
      </c>
      <c r="R246" s="11">
        <v>5.1956329066328024</v>
      </c>
    </row>
    <row r="247" spans="15:18" ht="13.5" customHeight="1" x14ac:dyDescent="0.2">
      <c r="O247" s="11">
        <v>5.8250000000000002</v>
      </c>
      <c r="P247" s="11">
        <v>2.4111601562500002</v>
      </c>
      <c r="Q247" s="11">
        <v>0.52296874999999998</v>
      </c>
      <c r="R247" s="11">
        <v>5.3619935650052257</v>
      </c>
    </row>
    <row r="248" spans="15:18" ht="13.5" customHeight="1" x14ac:dyDescent="0.2">
      <c r="O248" s="11">
        <v>5.85</v>
      </c>
      <c r="P248" s="11">
        <v>2.4241562499999998</v>
      </c>
      <c r="Q248" s="11">
        <v>0.51687500000000008</v>
      </c>
      <c r="R248" s="11">
        <v>5.5286400203880905</v>
      </c>
    </row>
    <row r="249" spans="15:18" ht="13.5" customHeight="1" x14ac:dyDescent="0.2">
      <c r="O249" s="11">
        <v>5.875</v>
      </c>
      <c r="P249" s="11">
        <v>2.43701171875</v>
      </c>
      <c r="Q249" s="11">
        <v>0.51171875</v>
      </c>
      <c r="R249" s="11">
        <v>5.6955738134604728</v>
      </c>
    </row>
    <row r="250" spans="15:18" ht="13.5" customHeight="1" x14ac:dyDescent="0.2">
      <c r="O250" s="11">
        <v>5.9</v>
      </c>
      <c r="P250" s="11">
        <v>2.4497500000000003</v>
      </c>
      <c r="Q250" s="11">
        <v>0.50749999999999995</v>
      </c>
      <c r="R250" s="11">
        <v>5.8627964682329425</v>
      </c>
    </row>
    <row r="251" spans="15:18" ht="13.5" customHeight="1" x14ac:dyDescent="0.2">
      <c r="O251" s="11">
        <v>5.9249999999999998</v>
      </c>
      <c r="P251" s="11">
        <v>2.4623945312500002</v>
      </c>
      <c r="Q251" s="11">
        <v>0.50421875000000005</v>
      </c>
      <c r="R251" s="11">
        <v>6.0303094948256568</v>
      </c>
    </row>
    <row r="252" spans="15:18" ht="13.5" customHeight="1" x14ac:dyDescent="0.2">
      <c r="O252" s="11">
        <v>5.95</v>
      </c>
      <c r="P252" s="11">
        <v>2.4749687499999999</v>
      </c>
      <c r="Q252" s="11">
        <v>0.50187499999999996</v>
      </c>
      <c r="R252" s="11">
        <v>6.1981143922464259</v>
      </c>
    </row>
    <row r="253" spans="15:18" ht="13.5" customHeight="1" x14ac:dyDescent="0.2">
      <c r="O253" s="11">
        <v>5.9749999999999996</v>
      </c>
      <c r="P253" s="11">
        <v>2.4874960937499999</v>
      </c>
      <c r="Q253" s="11">
        <v>0.50046875000000002</v>
      </c>
      <c r="R253" s="11">
        <v>6.366212651168822</v>
      </c>
    </row>
    <row r="254" spans="15:18" ht="13.5" customHeight="1" x14ac:dyDescent="0.2">
      <c r="O254" s="11">
        <v>5.9999998999999997</v>
      </c>
      <c r="P254" s="11">
        <v>2.4999999499999999</v>
      </c>
      <c r="Q254" s="11">
        <v>0.50000000000000755</v>
      </c>
      <c r="R254" s="11">
        <v>6.5346050825461468</v>
      </c>
    </row>
    <row r="255" spans="15:18" ht="13.5" customHeight="1" x14ac:dyDescent="0.2">
      <c r="O255" s="11">
        <v>6</v>
      </c>
      <c r="P255" s="11">
        <v>2.5</v>
      </c>
      <c r="Q255" s="11">
        <v>0.5</v>
      </c>
      <c r="R255" s="11">
        <v>6.5346057567102376</v>
      </c>
    </row>
    <row r="256" spans="15:18" ht="13.5" customHeight="1" x14ac:dyDescent="0.2">
      <c r="O256" s="11">
        <v>6</v>
      </c>
      <c r="P256" s="11">
        <v>0</v>
      </c>
      <c r="Q256" s="11">
        <v>0</v>
      </c>
      <c r="R256" s="11" t="e">
        <v>#N/A</v>
      </c>
    </row>
    <row r="257" spans="15:18" ht="13.5" customHeight="1" x14ac:dyDescent="0.2">
      <c r="O257" s="11">
        <v>0</v>
      </c>
      <c r="P257" s="11">
        <v>0</v>
      </c>
      <c r="Q257" s="11">
        <v>0</v>
      </c>
      <c r="R257" s="11" t="e">
        <v>#N/A</v>
      </c>
    </row>
    <row r="258" spans="15:18" ht="13.5" customHeight="1" x14ac:dyDescent="0.2">
      <c r="O258" s="11">
        <v>0</v>
      </c>
      <c r="P258" s="11" t="e">
        <v>#N/A</v>
      </c>
      <c r="Q258" s="11">
        <v>12.404166666666667</v>
      </c>
      <c r="R258" s="11" t="e">
        <v>#N/A</v>
      </c>
    </row>
  </sheetData>
  <phoneticPr fontId="2" type="noConversion"/>
  <conditionalFormatting sqref="O1:T1048576">
    <cfRule type="cellIs" dxfId="4" priority="7" operator="notEqual">
      <formula>""</formula>
    </cfRule>
  </conditionalFormatting>
  <conditionalFormatting sqref="C18:D20 B23:B25">
    <cfRule type="cellIs" dxfId="3" priority="5" operator="notBetween">
      <formula>0</formula>
      <formula>$B$3</formula>
    </cfRule>
  </conditionalFormatting>
  <conditionalFormatting sqref="B12:B14 C7:D9">
    <cfRule type="cellIs" dxfId="2" priority="4" operator="notBetween">
      <formula>0</formula>
      <formula>$B$2</formula>
    </cfRule>
  </conditionalFormatting>
  <conditionalFormatting sqref="E12:E14">
    <cfRule type="cellIs" dxfId="1" priority="2" operator="notBetween">
      <formula>0</formula>
      <formula>$B$2</formula>
    </cfRule>
  </conditionalFormatting>
  <conditionalFormatting sqref="E23:E25">
    <cfRule type="cellIs" dxfId="0" priority="1" operator="notBetween">
      <formula>0</formula>
      <formula>$B$2</formula>
    </cfRule>
  </conditionalFormatting>
  <pageMargins left="0.7" right="0.7" top="0.75" bottom="0.75" header="0.3" footer="0.3"/>
  <pageSetup paperSize="9" scale="86" orientation="portrait" r:id="rId1"/>
  <rowBreaks count="1" manualBreakCount="1">
    <brk id="65" max="1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analysis_step</vt:lpstr>
      <vt:lpstr>cant_span_pt_load_data</vt:lpstr>
      <vt:lpstr>cant_span_pt_moment_data</vt:lpstr>
      <vt:lpstr>cant_span_UDL_data</vt:lpstr>
      <vt:lpstr>E_beam</vt:lpstr>
      <vt:lpstr>I_beam</vt:lpstr>
      <vt:lpstr>L_cant</vt:lpstr>
      <vt:lpstr>L_main</vt:lpstr>
      <vt:lpstr>main_span_pt_load_data</vt:lpstr>
      <vt:lpstr>main_span_pt_moment_data</vt:lpstr>
      <vt:lpstr>main_span_UDL_data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2021-01-24T04:56:25Z</cp:lastPrinted>
  <dcterms:created xsi:type="dcterms:W3CDTF">2021-01-14T07:34:22Z</dcterms:created>
  <dcterms:modified xsi:type="dcterms:W3CDTF">2021-02-28T01:38:07Z</dcterms:modified>
</cp:coreProperties>
</file>